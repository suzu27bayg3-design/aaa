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献立表" sheetId="1" state="visible" r:id="rId1"/>
    <sheet name="レシピ" sheetId="2" state="visible" r:id="rId2"/>
    <sheet name="買い物リスト" sheetId="3" state="visible" r:id="rId3"/>
    <sheet name="出典・基礎原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  <font>
      <name val="Meiryo"/>
      <i val="1"/>
      <sz val="9"/>
    </font>
    <font>
      <name val="Meiryo"/>
      <color rgb="000563C1"/>
      <sz val="10"/>
      <u val="single"/>
    </font>
    <font>
      <name val="Meiryo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lishkitchen.tv/recipes/372431553340376263" TargetMode="External" Id="rId1" /><Relationship Type="http://schemas.openxmlformats.org/officeDocument/2006/relationships/hyperlink" Target="https://delishkitchen.tv/recipes/197320405118092320" TargetMode="External" Id="rId2" /><Relationship Type="http://schemas.openxmlformats.org/officeDocument/2006/relationships/hyperlink" Target="https://delishkitchen.tv/recipes/197906490919486496" TargetMode="External" Id="rId3" /><Relationship Type="http://schemas.openxmlformats.org/officeDocument/2006/relationships/hyperlink" Target="https://delishkitchen.tv/recipes/197484660219969894" TargetMode="External" Id="rId4" /><Relationship Type="http://schemas.openxmlformats.org/officeDocument/2006/relationships/hyperlink" Target="https://delishkitchen.tv/recipes/408107699302039880" TargetMode="External" Id="rId5" /><Relationship Type="http://schemas.openxmlformats.org/officeDocument/2006/relationships/hyperlink" Target="https://delishkitchen.tv/recipes/433714990541701537" TargetMode="External" Id="rId6" /><Relationship Type="http://schemas.openxmlformats.org/officeDocument/2006/relationships/hyperlink" Target="https://delishkitchen.tv/recipes/165433598944477587" TargetMode="External" Id="rId7" /><Relationship Type="http://schemas.openxmlformats.org/officeDocument/2006/relationships/hyperlink" Target="https://delishkitchen.tv/recipes/153237860613357862" TargetMode="External" Id="rId8" /><Relationship Type="http://schemas.openxmlformats.org/officeDocument/2006/relationships/hyperlink" Target="https://delishkitchen.tv/recipes/134723216676487553" TargetMode="External" Id="rId9" /><Relationship Type="http://schemas.openxmlformats.org/officeDocument/2006/relationships/hyperlink" Target="https://delishkitchen.tv/recipes/207028580079632788" TargetMode="External" Id="rId10" /><Relationship Type="http://schemas.openxmlformats.org/officeDocument/2006/relationships/hyperlink" Target="https://delishkitchen.tv/recipes/194111675098464660" TargetMode="External" Id="rId11" /><Relationship Type="http://schemas.openxmlformats.org/officeDocument/2006/relationships/hyperlink" Target="https://delishkitchen.tv/recipes/375619502815052886" TargetMode="External" Id="rId12" /><Relationship Type="http://schemas.openxmlformats.org/officeDocument/2006/relationships/hyperlink" Target="https://delishkitchen.tv/recipes/390846387756991532" TargetMode="External" Id="rId13" /><Relationship Type="http://schemas.openxmlformats.org/officeDocument/2006/relationships/hyperlink" Target="https://delishkitchen.tv/recipes/328229145911755054" TargetMode="External" Id="rId14" /><Relationship Type="http://schemas.openxmlformats.org/officeDocument/2006/relationships/hyperlink" Target="https://delishkitchen.tv/recipes/375479622474662329" TargetMode="External" Id="rId15" /><Relationship Type="http://schemas.openxmlformats.org/officeDocument/2006/relationships/hyperlink" Target="https://delishkitchen.tv/recipes/419552908254642504" TargetMode="External" Id="rId16" /><Relationship Type="http://schemas.openxmlformats.org/officeDocument/2006/relationships/hyperlink" Target="https://delishkitchen.tv/curations/7597" TargetMode="External" Id="rId17" /><Relationship Type="http://schemas.openxmlformats.org/officeDocument/2006/relationships/hyperlink" Target="https://delishkitchen.tv/articles/31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ity.bunkyo.lg.jp/documents/1540/2024321215312.pdf" TargetMode="External" Id="rId1" /><Relationship Type="http://schemas.openxmlformats.org/officeDocument/2006/relationships/hyperlink" Target="https://www.med.jrc.or.jp/Portals/0/resources/hospital/clinic/sanka/eiyo.pdf" TargetMode="External" Id="rId2" /><Relationship Type="http://schemas.openxmlformats.org/officeDocument/2006/relationships/hyperlink" Target="https://www.kenko-shokuiku.city.nagoya.jp/pdf/ninsanpu_syokuji.pdf" TargetMode="External" Id="rId3" /><Relationship Type="http://schemas.openxmlformats.org/officeDocument/2006/relationships/hyperlink" Target="https://www.mhlw.go.jp/content/10904750/001542297.pdf" TargetMode="External" Id="rId4" /><Relationship Type="http://schemas.openxmlformats.org/officeDocument/2006/relationships/hyperlink" Target="https://hugkum.sho.jp/40247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40" customWidth="1" min="4" max="4"/>
    <col width="30" customWidth="1" min="5" max="5"/>
  </cols>
  <sheetData>
    <row r="1">
      <c r="A1" s="1" t="inlineStr">
        <is>
          <t>曜日</t>
        </is>
      </c>
      <c r="B1" s="1" t="inlineStr">
        <is>
          <t>朝</t>
        </is>
      </c>
      <c r="C1" s="1" t="inlineStr">
        <is>
          <t>昼</t>
        </is>
      </c>
      <c r="D1" s="1" t="inlineStr">
        <is>
          <t>夜</t>
        </is>
      </c>
      <c r="E1" s="1" t="inlineStr">
        <is>
          <t>間食</t>
        </is>
      </c>
    </row>
    <row r="2" ht="48" customHeight="1">
      <c r="A2" s="2" t="inlineStr">
        <is>
          <t>月</t>
        </is>
      </c>
      <c r="B2" s="2" t="inlineStr">
        <is>
          <t>ご飯 / 卵と豆腐の味噌汁 / 納豆</t>
        </is>
      </c>
      <c r="C2" s="2" t="inlineStr">
        <is>
          <t>鮭おにぎり / ほうれん草のおひたし / みかん</t>
        </is>
      </c>
      <c r="D2" s="2" t="inlineStr">
        <is>
          <t>鶏ももと根菜の照り煮 / ご飯 / 味噌汁 / 冷凍ブロッコリー</t>
        </is>
      </c>
      <c r="E2" s="2" t="inlineStr">
        <is>
          <t>ヨーグルト+冷凍ブルーベリー</t>
        </is>
      </c>
    </row>
    <row r="3" ht="48" customHeight="1">
      <c r="A3" s="2" t="inlineStr">
        <is>
          <t>火</t>
        </is>
      </c>
      <c r="B3" s="2" t="inlineStr">
        <is>
          <t>ご飯 / ゆで卵 / ヨーグルト+ブルーベリー+キウイ</t>
        </is>
      </c>
      <c r="C3" s="2" t="inlineStr">
        <is>
          <t>基本の親子丼 / ほうれん草のおひたし</t>
        </is>
      </c>
      <c r="D3" s="2" t="inlineStr">
        <is>
          <t>鯖の塩焼き / 冷奴 / ご飯 / 味噌汁 / 冷凍ブロッコリー</t>
        </is>
      </c>
      <c r="E3" s="2" t="inlineStr">
        <is>
          <t>バナナ</t>
        </is>
      </c>
    </row>
    <row r="4" ht="48" customHeight="1">
      <c r="A4" s="2" t="inlineStr">
        <is>
          <t>水</t>
        </is>
      </c>
      <c r="B4" s="2" t="inlineStr">
        <is>
          <t>トースト / チーズ / バナナ / 牛乳(ブルーベリースムージーも可)</t>
        </is>
      </c>
      <c r="C4" s="2" t="inlineStr">
        <is>
          <t>豚汁 / おにぎり</t>
        </is>
      </c>
      <c r="D4" s="2" t="inlineStr">
        <is>
          <t>照り煮の残り / ほうれん草のおひたし / ご飯</t>
        </is>
      </c>
      <c r="E4" s="2" t="inlineStr">
        <is>
          <t>チーズ・ナッツ</t>
        </is>
      </c>
    </row>
    <row r="5" ht="48" customHeight="1">
      <c r="A5" s="2" t="inlineStr">
        <is>
          <t>木</t>
        </is>
      </c>
      <c r="B5" s="2" t="inlineStr">
        <is>
          <t>ご飯 / 納豆 / 味噌汁</t>
        </is>
      </c>
      <c r="C5" s="2" t="inlineStr">
        <is>
          <t>鮭とたまごの雑炊(小松菜を追加) / いちご</t>
        </is>
      </c>
      <c r="D5" s="2" t="inlineStr">
        <is>
          <t>千切り野菜のだし豚しゃぶ / ご飯 / 冷凍ブロッコリー</t>
        </is>
      </c>
      <c r="E5" s="2" t="inlineStr">
        <is>
          <t>ブルーベリースムージー</t>
        </is>
      </c>
    </row>
    <row r="6" ht="48" customHeight="1">
      <c r="A6" s="2" t="inlineStr">
        <is>
          <t>金</t>
        </is>
      </c>
      <c r="B6" s="2" t="inlineStr">
        <is>
          <t>ご飯 / ゆで卵 / 味噌汁</t>
        </is>
      </c>
      <c r="C6" s="2" t="inlineStr">
        <is>
          <t>オムうどん</t>
        </is>
      </c>
      <c r="D6" s="2" t="inlineStr">
        <is>
          <t>鯛の煮付け / ほうれん草のごま和え / ご飯</t>
        </is>
      </c>
      <c r="E6" s="2" t="inlineStr">
        <is>
          <t>ヨーグルト+ブルーベリー</t>
        </is>
      </c>
    </row>
    <row r="7" ht="48" customHeight="1">
      <c r="A7" s="2" t="inlineStr">
        <is>
          <t>土</t>
        </is>
      </c>
      <c r="B7" s="2" t="inlineStr">
        <is>
          <t>トースト / 卵 / 牛乳</t>
        </is>
      </c>
      <c r="C7" s="2" t="inlineStr">
        <is>
          <t>三色鶏そぼろ丼 / 味噌汁</t>
        </is>
      </c>
      <c r="D7" s="2" t="inlineStr">
        <is>
          <t>肉豆腐 / 冷凍ブロッコリーのおかかバター / ご飯</t>
        </is>
      </c>
      <c r="E7" s="2" t="inlineStr">
        <is>
          <t>バナナ</t>
        </is>
      </c>
    </row>
    <row r="8" ht="48" customHeight="1">
      <c r="A8" s="2" t="inlineStr">
        <is>
          <t>日</t>
        </is>
      </c>
      <c r="B8" s="2" t="inlineStr">
        <is>
          <t>簡単に(作り置きの仕込み)</t>
        </is>
      </c>
      <c r="C8" s="2" t="inlineStr">
        <is>
          <t>惣菜・宅配も可</t>
        </is>
      </c>
      <c r="D8" s="2" t="inlineStr">
        <is>
          <t>余り物で調整</t>
        </is>
      </c>
      <c r="E8" s="2" t="inlineStr">
        <is>
          <t>ナッツ・牛乳</t>
        </is>
      </c>
    </row>
    <row r="10">
      <c r="A10" s="3" t="inlineStr">
        <is>
          <t>日曜に鶏の照り煮・おひたし・ゆで卵を作り置きし、ご飯を小分け冷凍する。ミルク併用でも授乳中なので量は本人の食欲に合わせる。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  <col width="48" customWidth="1" min="4" max="4"/>
  </cols>
  <sheetData>
    <row r="1">
      <c r="A1" s="1" t="inlineStr">
        <is>
          <t>料理名</t>
        </is>
      </c>
      <c r="B1" s="1" t="inlineStr">
        <is>
          <t>役割</t>
        </is>
      </c>
      <c r="C1" s="1" t="inlineStr">
        <is>
          <t>出典(デリッシュキッチン)</t>
        </is>
      </c>
      <c r="D1" s="1" t="inlineStr">
        <is>
          <t>メモ</t>
        </is>
      </c>
    </row>
    <row r="2">
      <c r="A2" s="2" t="inlineStr">
        <is>
          <t>卵と豆腐の味噌汁</t>
        </is>
      </c>
      <c r="B2" s="2" t="inlineStr">
        <is>
          <t>汁物</t>
        </is>
      </c>
      <c r="C2" s="4" t="inlineStr">
        <is>
          <t>https://delishkitchen.tv/recipes/372431553340376263</t>
        </is>
      </c>
      <c r="D2" s="2" t="inlineStr"/>
    </row>
    <row r="3">
      <c r="A3" s="2" t="inlineStr">
        <is>
          <t>基本の親子丼</t>
        </is>
      </c>
      <c r="B3" s="2" t="inlineStr">
        <is>
          <t>主食+主菜</t>
        </is>
      </c>
      <c r="C3" s="4" t="inlineStr">
        <is>
          <t>https://delishkitchen.tv/recipes/197320405118092320</t>
        </is>
      </c>
      <c r="D3" s="2" t="inlineStr"/>
    </row>
    <row r="4">
      <c r="A4" s="2" t="inlineStr">
        <is>
          <t>鯖の塩焼き</t>
        </is>
      </c>
      <c r="B4" s="2" t="inlineStr">
        <is>
          <t>主菜</t>
        </is>
      </c>
      <c r="C4" s="4" t="inlineStr">
        <is>
          <t>https://delishkitchen.tv/recipes/197906490919486496</t>
        </is>
      </c>
      <c r="D4" s="2" t="inlineStr"/>
    </row>
    <row r="5">
      <c r="A5" s="2" t="inlineStr">
        <is>
          <t>豚汁</t>
        </is>
      </c>
      <c r="B5" s="2" t="inlineStr">
        <is>
          <t>汁物(副菜兼用)</t>
        </is>
      </c>
      <c r="C5" s="4" t="inlineStr">
        <is>
          <t>https://delishkitchen.tv/recipes/197484660219969894</t>
        </is>
      </c>
      <c r="D5" s="2" t="inlineStr">
        <is>
          <t>豚バラは脂が多いので豚こまに替えてもよい(提案)</t>
        </is>
      </c>
    </row>
    <row r="6">
      <c r="A6" s="2" t="inlineStr">
        <is>
          <t>鮭とたまごの雑炊</t>
        </is>
      </c>
      <c r="B6" s="2" t="inlineStr">
        <is>
          <t>主食+主菜</t>
        </is>
      </c>
      <c r="C6" s="4" t="inlineStr">
        <is>
          <t>https://delishkitchen.tv/recipes/408107699302039880</t>
        </is>
      </c>
      <c r="D6" s="2" t="inlineStr">
        <is>
          <t>小松菜を足すと鉄・葉酸が増える(提案)</t>
        </is>
      </c>
    </row>
    <row r="7">
      <c r="A7" s="2" t="inlineStr">
        <is>
          <t>千切り野菜のだし豚しゃぶ</t>
        </is>
      </c>
      <c r="B7" s="2" t="inlineStr">
        <is>
          <t>主菜+副菜</t>
        </is>
      </c>
      <c r="C7" s="4" t="inlineStr">
        <is>
          <t>https://delishkitchen.tv/recipes/433714990541701537</t>
        </is>
      </c>
      <c r="D7" s="2" t="inlineStr"/>
    </row>
    <row r="8">
      <c r="A8" s="2" t="inlineStr">
        <is>
          <t>オムうどん</t>
        </is>
      </c>
      <c r="B8" s="2" t="inlineStr">
        <is>
          <t>主食+主菜</t>
        </is>
      </c>
      <c r="C8" s="4" t="inlineStr">
        <is>
          <t>https://delishkitchen.tv/recipes/165433598944477587</t>
        </is>
      </c>
      <c r="D8" s="2" t="inlineStr">
        <is>
          <t>冷凍うどん使用</t>
        </is>
      </c>
    </row>
    <row r="9">
      <c r="A9" s="2" t="inlineStr">
        <is>
          <t>鯛の煮付け</t>
        </is>
      </c>
      <c r="B9" s="2" t="inlineStr">
        <is>
          <t>主菜</t>
        </is>
      </c>
      <c r="C9" s="4" t="inlineStr">
        <is>
          <t>https://delishkitchen.tv/recipes/153237860613357862</t>
        </is>
      </c>
      <c r="D9" s="2" t="inlineStr"/>
    </row>
    <row r="10">
      <c r="A10" s="2" t="inlineStr">
        <is>
          <t>ほうれん草のごま和え</t>
        </is>
      </c>
      <c r="B10" s="2" t="inlineStr">
        <is>
          <t>副菜</t>
        </is>
      </c>
      <c r="C10" s="4" t="inlineStr">
        <is>
          <t>https://delishkitchen.tv/recipes/134723216676487553</t>
        </is>
      </c>
      <c r="D10" s="2" t="inlineStr"/>
    </row>
    <row r="11">
      <c r="A11" s="2" t="inlineStr">
        <is>
          <t>三色鶏そぼろ丼</t>
        </is>
      </c>
      <c r="B11" s="2" t="inlineStr">
        <is>
          <t>主食+主菜</t>
        </is>
      </c>
      <c r="C11" s="4" t="inlineStr">
        <is>
          <t>https://delishkitchen.tv/recipes/207028580079632788</t>
        </is>
      </c>
      <c r="D11" s="2" t="inlineStr"/>
    </row>
    <row r="12">
      <c r="A12" s="2" t="inlineStr">
        <is>
          <t>肉豆腐</t>
        </is>
      </c>
      <c r="B12" s="2" t="inlineStr">
        <is>
          <t>主菜</t>
        </is>
      </c>
      <c r="C12" s="4" t="inlineStr">
        <is>
          <t>https://delishkitchen.tv/recipes/194111675098464660</t>
        </is>
      </c>
      <c r="D12" s="2" t="inlineStr">
        <is>
          <t>リンクは牛肉。豚でも可</t>
        </is>
      </c>
    </row>
    <row r="13">
      <c r="A13" s="2" t="inlineStr">
        <is>
          <t>鶏ももと根菜の照り煮</t>
        </is>
      </c>
      <c r="B13" s="2" t="inlineStr">
        <is>
          <t>主菜(日曜作り置き)</t>
        </is>
      </c>
      <c r="C13" s="4" t="inlineStr">
        <is>
          <t>https://delishkitchen.tv/recipes/375619502815052886</t>
        </is>
      </c>
      <c r="D13" s="2" t="inlineStr">
        <is>
          <t>月夜・水夜に使い回し</t>
        </is>
      </c>
    </row>
    <row r="14">
      <c r="A14" s="2" t="inlineStr">
        <is>
          <t>ほうれん草のおひたし</t>
        </is>
      </c>
      <c r="B14" s="2" t="inlineStr">
        <is>
          <t>副菜(日曜作り置き)</t>
        </is>
      </c>
      <c r="C14" s="4" t="inlineStr">
        <is>
          <t>https://delishkitchen.tv/recipes/390846387756991532</t>
        </is>
      </c>
      <c r="D14" s="2" t="inlineStr">
        <is>
          <t>2〜3日分を作り置き</t>
        </is>
      </c>
    </row>
    <row r="15">
      <c r="A15" s="2" t="inlineStr">
        <is>
          <t>冷凍ブロッコリーのおかかバター</t>
        </is>
      </c>
      <c r="B15" s="2" t="inlineStr">
        <is>
          <t>副菜(レンジ)</t>
        </is>
      </c>
      <c r="C15" s="4" t="inlineStr">
        <is>
          <t>https://delishkitchen.tv/recipes/328229145911755054</t>
        </is>
      </c>
      <c r="D15" s="2" t="inlineStr"/>
    </row>
    <row r="16">
      <c r="A16" s="2" t="inlineStr">
        <is>
          <t>ブルーベリースムージー</t>
        </is>
      </c>
      <c r="B16" s="2" t="inlineStr">
        <is>
          <t>間食・朝食</t>
        </is>
      </c>
      <c r="C16" s="4" t="inlineStr">
        <is>
          <t>https://delishkitchen.tv/recipes/375479622474662329</t>
        </is>
      </c>
      <c r="D16" s="2" t="inlineStr"/>
    </row>
    <row r="18">
      <c r="A18" s="5" t="inlineStr">
        <is>
          <t>補足リンク</t>
        </is>
      </c>
    </row>
    <row r="19">
      <c r="A19" s="6" t="inlineStr">
        <is>
          <t>冷凍ブロッコリーの解凍方法</t>
        </is>
      </c>
      <c r="C19" s="7" t="inlineStr">
        <is>
          <t>https://delishkitchen.tv/recipes/419552908254642504</t>
        </is>
      </c>
    </row>
    <row r="20">
      <c r="A20" s="6" t="inlineStr">
        <is>
          <t>冷凍ブロッコリー活用レシピ19選</t>
        </is>
      </c>
      <c r="C20" s="7" t="inlineStr">
        <is>
          <t>https://delishkitchen.tv/curations/7597</t>
        </is>
      </c>
    </row>
    <row r="21">
      <c r="A21" s="6" t="inlineStr">
        <is>
          <t>冷凍ブルーベリーレシピ</t>
        </is>
      </c>
      <c r="C21" s="7" t="inlineStr">
        <is>
          <t>https://delishkitchen.tv/articles/31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36" customWidth="1" min="5" max="5"/>
    <col width="12" customWidth="1" min="6" max="6"/>
  </cols>
  <sheetData>
    <row r="1">
      <c r="A1" s="1" t="inlineStr">
        <is>
          <t>区分</t>
        </is>
      </c>
      <c r="B1" s="1" t="inlineStr">
        <is>
          <t>品名</t>
        </is>
      </c>
      <c r="C1" s="1" t="inlineStr">
        <is>
          <t>数量</t>
        </is>
      </c>
      <c r="D1" s="1" t="inlineStr">
        <is>
          <t>単位</t>
        </is>
      </c>
      <c r="E1" s="1" t="inlineStr">
        <is>
          <t>用途</t>
        </is>
      </c>
      <c r="F1" s="1" t="inlineStr">
        <is>
          <t>購入済(○)</t>
        </is>
      </c>
    </row>
    <row r="2">
      <c r="A2" s="2" t="inlineStr">
        <is>
          <t>肉・魚</t>
        </is>
      </c>
      <c r="B2" s="2" t="inlineStr">
        <is>
          <t>鶏もも肉</t>
        </is>
      </c>
      <c r="C2" s="2" t="n">
        <v>2</v>
      </c>
      <c r="D2" s="2" t="inlineStr">
        <is>
          <t>枚</t>
        </is>
      </c>
      <c r="E2" s="2" t="inlineStr">
        <is>
          <t>照り煮・親子丼</t>
        </is>
      </c>
      <c r="F2" s="8" t="n"/>
    </row>
    <row r="3">
      <c r="A3" s="2" t="inlineStr">
        <is>
          <t>肉・魚</t>
        </is>
      </c>
      <c r="B3" s="2" t="inlineStr">
        <is>
          <t>鶏ひき肉</t>
        </is>
      </c>
      <c r="C3" s="2" t="n">
        <v>200</v>
      </c>
      <c r="D3" s="2" t="inlineStr">
        <is>
          <t>g</t>
        </is>
      </c>
      <c r="E3" s="2" t="inlineStr">
        <is>
          <t>そぼろ丼</t>
        </is>
      </c>
      <c r="F3" s="8" t="n"/>
    </row>
    <row r="4">
      <c r="A4" s="2" t="inlineStr">
        <is>
          <t>肉・魚</t>
        </is>
      </c>
      <c r="B4" s="2" t="inlineStr">
        <is>
          <t>豚こま切れ</t>
        </is>
      </c>
      <c r="C4" s="2" t="n">
        <v>200</v>
      </c>
      <c r="D4" s="2" t="inlineStr">
        <is>
          <t>g</t>
        </is>
      </c>
      <c r="E4" s="2" t="inlineStr">
        <is>
          <t>豚汁・オムうどん</t>
        </is>
      </c>
      <c r="F4" s="8" t="n"/>
    </row>
    <row r="5">
      <c r="A5" s="2" t="inlineStr">
        <is>
          <t>肉・魚</t>
        </is>
      </c>
      <c r="B5" s="2" t="inlineStr">
        <is>
          <t>豚ロースしゃぶしゃぶ用</t>
        </is>
      </c>
      <c r="C5" s="2" t="n">
        <v>200</v>
      </c>
      <c r="D5" s="2" t="inlineStr">
        <is>
          <t>g</t>
        </is>
      </c>
      <c r="E5" s="2" t="inlineStr">
        <is>
          <t>だし豚しゃぶ</t>
        </is>
      </c>
      <c r="F5" s="8" t="n"/>
    </row>
    <row r="6">
      <c r="A6" s="2" t="inlineStr">
        <is>
          <t>肉・魚</t>
        </is>
      </c>
      <c r="B6" s="2" t="inlineStr">
        <is>
          <t>牛または豚の切り落とし</t>
        </is>
      </c>
      <c r="C6" s="2" t="n">
        <v>150</v>
      </c>
      <c r="D6" s="2" t="inlineStr">
        <is>
          <t>g</t>
        </is>
      </c>
      <c r="E6" s="2" t="inlineStr">
        <is>
          <t>肉豆腐</t>
        </is>
      </c>
      <c r="F6" s="8" t="n"/>
    </row>
    <row r="7">
      <c r="A7" s="2" t="inlineStr">
        <is>
          <t>肉・魚</t>
        </is>
      </c>
      <c r="B7" s="2" t="inlineStr">
        <is>
          <t>塩鮭 切り身</t>
        </is>
      </c>
      <c r="C7" s="2" t="n">
        <v>4</v>
      </c>
      <c r="D7" s="2" t="inlineStr">
        <is>
          <t>切れ</t>
        </is>
      </c>
      <c r="E7" s="2" t="inlineStr">
        <is>
          <t>おにぎり・雑炊ほか</t>
        </is>
      </c>
      <c r="F7" s="8" t="n"/>
    </row>
    <row r="8">
      <c r="A8" s="2" t="inlineStr">
        <is>
          <t>肉・魚</t>
        </is>
      </c>
      <c r="B8" s="2" t="inlineStr">
        <is>
          <t>塩鯖</t>
        </is>
      </c>
      <c r="C8" s="2" t="n">
        <v>2</v>
      </c>
      <c r="D8" s="2" t="inlineStr">
        <is>
          <t>切れ</t>
        </is>
      </c>
      <c r="E8" s="2" t="inlineStr">
        <is>
          <t>塩焼き</t>
        </is>
      </c>
      <c r="F8" s="8" t="n"/>
    </row>
    <row r="9">
      <c r="A9" s="2" t="inlineStr">
        <is>
          <t>肉・魚</t>
        </is>
      </c>
      <c r="B9" s="2" t="inlineStr">
        <is>
          <t>鯛などの白身魚 切り身</t>
        </is>
      </c>
      <c r="C9" s="2" t="n">
        <v>2</v>
      </c>
      <c r="D9" s="2" t="inlineStr">
        <is>
          <t>切れ</t>
        </is>
      </c>
      <c r="E9" s="2" t="inlineStr">
        <is>
          <t>煮付け</t>
        </is>
      </c>
      <c r="F9" s="8" t="n"/>
    </row>
    <row r="10">
      <c r="A10" s="2" t="inlineStr">
        <is>
          <t>卵・大豆・乳</t>
        </is>
      </c>
      <c r="B10" s="2" t="inlineStr">
        <is>
          <t>卵</t>
        </is>
      </c>
      <c r="C10" s="2" t="n">
        <v>20</v>
      </c>
      <c r="D10" s="2" t="inlineStr">
        <is>
          <t>個</t>
        </is>
      </c>
      <c r="E10" s="2" t="inlineStr">
        <is>
          <t>ゆで卵・親子丼・雑炊ほか</t>
        </is>
      </c>
      <c r="F10" s="8" t="n"/>
    </row>
    <row r="11">
      <c r="A11" s="2" t="inlineStr">
        <is>
          <t>卵・大豆・乳</t>
        </is>
      </c>
      <c r="B11" s="2" t="inlineStr">
        <is>
          <t>絹豆腐</t>
        </is>
      </c>
      <c r="C11" s="2" t="n">
        <v>2</v>
      </c>
      <c r="D11" s="2" t="inlineStr">
        <is>
          <t>丁</t>
        </is>
      </c>
      <c r="E11" s="2" t="inlineStr">
        <is>
          <t>味噌汁・冷奴</t>
        </is>
      </c>
      <c r="F11" s="8" t="n"/>
    </row>
    <row r="12">
      <c r="A12" s="2" t="inlineStr">
        <is>
          <t>卵・大豆・乳</t>
        </is>
      </c>
      <c r="B12" s="2" t="inlineStr">
        <is>
          <t>木綿豆腐</t>
        </is>
      </c>
      <c r="C12" s="2" t="n">
        <v>1</v>
      </c>
      <c r="D12" s="2" t="inlineStr">
        <is>
          <t>丁</t>
        </is>
      </c>
      <c r="E12" s="2" t="inlineStr">
        <is>
          <t>肉豆腐</t>
        </is>
      </c>
      <c r="F12" s="8" t="n"/>
    </row>
    <row r="13">
      <c r="A13" s="2" t="inlineStr">
        <is>
          <t>卵・大豆・乳</t>
        </is>
      </c>
      <c r="B13" s="2" t="inlineStr">
        <is>
          <t>納豆</t>
        </is>
      </c>
      <c r="C13" s="2" t="n">
        <v>3</v>
      </c>
      <c r="D13" s="2" t="inlineStr">
        <is>
          <t>パック</t>
        </is>
      </c>
      <c r="E13" s="2" t="inlineStr">
        <is>
          <t>朝食</t>
        </is>
      </c>
      <c r="F13" s="8" t="n"/>
    </row>
    <row r="14">
      <c r="A14" s="2" t="inlineStr">
        <is>
          <t>卵・大豆・乳</t>
        </is>
      </c>
      <c r="B14" s="2" t="inlineStr">
        <is>
          <t>油揚げ</t>
        </is>
      </c>
      <c r="C14" s="2" t="n">
        <v>1</v>
      </c>
      <c r="D14" s="2" t="inlineStr">
        <is>
          <t>袋</t>
        </is>
      </c>
      <c r="E14" s="2" t="inlineStr">
        <is>
          <t>味噌汁</t>
        </is>
      </c>
      <c r="F14" s="8" t="n"/>
    </row>
    <row r="15">
      <c r="A15" s="2" t="inlineStr">
        <is>
          <t>卵・大豆・乳</t>
        </is>
      </c>
      <c r="B15" s="2" t="inlineStr">
        <is>
          <t>牛乳 1L</t>
        </is>
      </c>
      <c r="C15" s="2" t="n">
        <v>2</v>
      </c>
      <c r="D15" s="2" t="inlineStr">
        <is>
          <t>本</t>
        </is>
      </c>
      <c r="E15" s="2" t="inlineStr">
        <is>
          <t>朝食・スムージー</t>
        </is>
      </c>
      <c r="F15" s="8" t="n"/>
    </row>
    <row r="16">
      <c r="A16" s="2" t="inlineStr">
        <is>
          <t>卵・大豆・乳</t>
        </is>
      </c>
      <c r="B16" s="2" t="inlineStr">
        <is>
          <t>無糖ヨーグルト 400g</t>
        </is>
      </c>
      <c r="C16" s="2" t="n">
        <v>2</v>
      </c>
      <c r="D16" s="2" t="inlineStr">
        <is>
          <t>個</t>
        </is>
      </c>
      <c r="E16" s="2" t="inlineStr">
        <is>
          <t>朝食・間食</t>
        </is>
      </c>
      <c r="F16" s="8" t="n"/>
    </row>
    <row r="17">
      <c r="A17" s="2" t="inlineStr">
        <is>
          <t>卵・大豆・乳</t>
        </is>
      </c>
      <c r="B17" s="2" t="inlineStr">
        <is>
          <t>スライスチーズ</t>
        </is>
      </c>
      <c r="C17" s="2" t="n">
        <v>1</v>
      </c>
      <c r="D17" s="2" t="inlineStr">
        <is>
          <t>袋</t>
        </is>
      </c>
      <c r="E17" s="2" t="inlineStr">
        <is>
          <t>朝食・間食</t>
        </is>
      </c>
      <c r="F17" s="8" t="n"/>
    </row>
    <row r="18">
      <c r="A18" s="2" t="inlineStr">
        <is>
          <t>野菜</t>
        </is>
      </c>
      <c r="B18" s="2" t="inlineStr">
        <is>
          <t>大根</t>
        </is>
      </c>
      <c r="C18" s="2" t="n">
        <v>1</v>
      </c>
      <c r="D18" s="2" t="inlineStr">
        <is>
          <t>本</t>
        </is>
      </c>
      <c r="E18" s="2" t="inlineStr">
        <is>
          <t>照り煮・豚汁</t>
        </is>
      </c>
      <c r="F18" s="8" t="n"/>
    </row>
    <row r="19">
      <c r="A19" s="2" t="inlineStr">
        <is>
          <t>野菜</t>
        </is>
      </c>
      <c r="B19" s="2" t="inlineStr">
        <is>
          <t>にんじん</t>
        </is>
      </c>
      <c r="C19" s="2" t="n">
        <v>3</v>
      </c>
      <c r="D19" s="2" t="inlineStr">
        <is>
          <t>本</t>
        </is>
      </c>
      <c r="E19" s="2" t="inlineStr">
        <is>
          <t>照り煮・豚汁ほか</t>
        </is>
      </c>
      <c r="F19" s="8" t="n"/>
    </row>
    <row r="20">
      <c r="A20" s="2" t="inlineStr">
        <is>
          <t>野菜</t>
        </is>
      </c>
      <c r="B20" s="2" t="inlineStr">
        <is>
          <t>ごぼう</t>
        </is>
      </c>
      <c r="C20" s="2" t="n">
        <v>1</v>
      </c>
      <c r="D20" s="2" t="inlineStr">
        <is>
          <t>本</t>
        </is>
      </c>
      <c r="E20" s="2" t="inlineStr">
        <is>
          <t>豚汁</t>
        </is>
      </c>
      <c r="F20" s="8" t="n"/>
    </row>
    <row r="21">
      <c r="A21" s="2" t="inlineStr">
        <is>
          <t>野菜</t>
        </is>
      </c>
      <c r="B21" s="2" t="inlineStr">
        <is>
          <t>長ねぎ</t>
        </is>
      </c>
      <c r="C21" s="2" t="n">
        <v>2</v>
      </c>
      <c r="D21" s="2" t="inlineStr">
        <is>
          <t>本</t>
        </is>
      </c>
      <c r="E21" s="2" t="inlineStr">
        <is>
          <t>豚汁ほか</t>
        </is>
      </c>
      <c r="F21" s="8" t="n"/>
    </row>
    <row r="22">
      <c r="A22" s="2" t="inlineStr">
        <is>
          <t>野菜</t>
        </is>
      </c>
      <c r="B22" s="2" t="inlineStr">
        <is>
          <t>玉ねぎ</t>
        </is>
      </c>
      <c r="C22" s="2" t="n">
        <v>2</v>
      </c>
      <c r="D22" s="2" t="inlineStr">
        <is>
          <t>個</t>
        </is>
      </c>
      <c r="E22" s="2" t="inlineStr">
        <is>
          <t>親子丼ほか</t>
        </is>
      </c>
      <c r="F22" s="8" t="n"/>
    </row>
    <row r="23">
      <c r="A23" s="2" t="inlineStr">
        <is>
          <t>野菜</t>
        </is>
      </c>
      <c r="B23" s="2" t="inlineStr">
        <is>
          <t>ほうれん草</t>
        </is>
      </c>
      <c r="C23" s="2" t="n">
        <v>3</v>
      </c>
      <c r="D23" s="2" t="inlineStr">
        <is>
          <t>袋</t>
        </is>
      </c>
      <c r="E23" s="2" t="inlineStr">
        <is>
          <t>おひたし・ごま和え・そぼろ丼</t>
        </is>
      </c>
      <c r="F23" s="8" t="n"/>
    </row>
    <row r="24">
      <c r="A24" s="2" t="inlineStr">
        <is>
          <t>野菜</t>
        </is>
      </c>
      <c r="B24" s="2" t="inlineStr">
        <is>
          <t>小松菜</t>
        </is>
      </c>
      <c r="C24" s="2" t="n">
        <v>1</v>
      </c>
      <c r="D24" s="2" t="inlineStr">
        <is>
          <t>袋</t>
        </is>
      </c>
      <c r="E24" s="2" t="inlineStr">
        <is>
          <t>雑炊</t>
        </is>
      </c>
      <c r="F24" s="8" t="n"/>
    </row>
    <row r="25">
      <c r="A25" s="2" t="inlineStr">
        <is>
          <t>野菜</t>
        </is>
      </c>
      <c r="B25" s="2" t="inlineStr">
        <is>
          <t>キャベツ</t>
        </is>
      </c>
      <c r="C25" s="2" t="n">
        <v>0.25</v>
      </c>
      <c r="D25" s="2" t="inlineStr">
        <is>
          <t>個</t>
        </is>
      </c>
      <c r="E25" s="2" t="inlineStr">
        <is>
          <t>だし豚しゃぶ</t>
        </is>
      </c>
      <c r="F25" s="8" t="n"/>
    </row>
    <row r="26">
      <c r="A26" s="2" t="inlineStr">
        <is>
          <t>野菜</t>
        </is>
      </c>
      <c r="B26" s="2" t="inlineStr">
        <is>
          <t>もやし</t>
        </is>
      </c>
      <c r="C26" s="2" t="n">
        <v>1</v>
      </c>
      <c r="D26" s="2" t="inlineStr">
        <is>
          <t>袋</t>
        </is>
      </c>
      <c r="E26" s="2" t="inlineStr">
        <is>
          <t>オムうどん</t>
        </is>
      </c>
      <c r="F26" s="8" t="n"/>
    </row>
    <row r="27">
      <c r="A27" s="2" t="inlineStr">
        <is>
          <t>野菜</t>
        </is>
      </c>
      <c r="B27" s="2" t="inlineStr">
        <is>
          <t>しょうが・絹さや</t>
        </is>
      </c>
      <c r="C27" s="2" t="n">
        <v>1</v>
      </c>
      <c r="D27" s="2" t="inlineStr">
        <is>
          <t>式</t>
        </is>
      </c>
      <c r="E27" s="2" t="inlineStr">
        <is>
          <t>照り煮・煮付け</t>
        </is>
      </c>
      <c r="F27" s="8" t="n"/>
    </row>
    <row r="28">
      <c r="A28" s="2" t="inlineStr">
        <is>
          <t>野菜</t>
        </is>
      </c>
      <c r="B28" s="2" t="inlineStr">
        <is>
          <t>こんにゃく</t>
        </is>
      </c>
      <c r="C28" s="2" t="n">
        <v>1</v>
      </c>
      <c r="D28" s="2" t="inlineStr">
        <is>
          <t>枚</t>
        </is>
      </c>
      <c r="E28" s="2" t="inlineStr">
        <is>
          <t>豚汁</t>
        </is>
      </c>
      <c r="F28" s="8" t="n"/>
    </row>
    <row r="29">
      <c r="A29" s="2" t="inlineStr">
        <is>
          <t>冷凍・乾物</t>
        </is>
      </c>
      <c r="B29" s="2" t="inlineStr">
        <is>
          <t>冷凍ブロッコリー</t>
        </is>
      </c>
      <c r="C29" s="2" t="n">
        <v>450</v>
      </c>
      <c r="D29" s="2" t="inlineStr">
        <is>
          <t>g</t>
        </is>
      </c>
      <c r="E29" s="2" t="inlineStr">
        <is>
          <t>副菜(150g×約3回)</t>
        </is>
      </c>
      <c r="F29" s="8" t="n"/>
    </row>
    <row r="30">
      <c r="A30" s="2" t="inlineStr">
        <is>
          <t>冷凍・乾物</t>
        </is>
      </c>
      <c r="B30" s="2" t="inlineStr">
        <is>
          <t>冷凍ブルーベリー</t>
        </is>
      </c>
      <c r="C30" s="2" t="n">
        <v>300</v>
      </c>
      <c r="D30" s="2" t="inlineStr">
        <is>
          <t>g</t>
        </is>
      </c>
      <c r="E30" s="2" t="inlineStr">
        <is>
          <t>ヨーグルト・スムージー</t>
        </is>
      </c>
      <c r="F30" s="8" t="n"/>
    </row>
    <row r="31">
      <c r="A31" s="2" t="inlineStr">
        <is>
          <t>冷凍・乾物</t>
        </is>
      </c>
      <c r="B31" s="2" t="inlineStr">
        <is>
          <t>冷凍うどん</t>
        </is>
      </c>
      <c r="C31" s="2" t="n">
        <v>2</v>
      </c>
      <c r="D31" s="2" t="inlineStr">
        <is>
          <t>玉</t>
        </is>
      </c>
      <c r="E31" s="2" t="inlineStr">
        <is>
          <t>オムうどん</t>
        </is>
      </c>
      <c r="F31" s="8" t="n"/>
    </row>
    <row r="32">
      <c r="A32" s="2" t="inlineStr">
        <is>
          <t>冷凍・乾物</t>
        </is>
      </c>
      <c r="B32" s="2" t="inlineStr">
        <is>
          <t>乾燥わかめ</t>
        </is>
      </c>
      <c r="C32" s="2" t="n">
        <v>1</v>
      </c>
      <c r="D32" s="2" t="inlineStr">
        <is>
          <t>袋</t>
        </is>
      </c>
      <c r="E32" s="2" t="inlineStr">
        <is>
          <t>味噌汁</t>
        </is>
      </c>
      <c r="F32" s="8" t="n"/>
    </row>
    <row r="33">
      <c r="A33" s="2" t="inlineStr">
        <is>
          <t>果物</t>
        </is>
      </c>
      <c r="B33" s="2" t="inlineStr">
        <is>
          <t>キウイ</t>
        </is>
      </c>
      <c r="C33" s="2" t="n">
        <v>3</v>
      </c>
      <c r="D33" s="2" t="inlineStr">
        <is>
          <t>個</t>
        </is>
      </c>
      <c r="E33" s="2" t="inlineStr">
        <is>
          <t>朝食</t>
        </is>
      </c>
      <c r="F33" s="8" t="n"/>
    </row>
    <row r="34">
      <c r="A34" s="2" t="inlineStr">
        <is>
          <t>果物</t>
        </is>
      </c>
      <c r="B34" s="2" t="inlineStr">
        <is>
          <t>みかん</t>
        </is>
      </c>
      <c r="C34" s="2" t="n">
        <v>1</v>
      </c>
      <c r="D34" s="2" t="inlineStr">
        <is>
          <t>袋</t>
        </is>
      </c>
      <c r="E34" s="2" t="inlineStr">
        <is>
          <t>昼</t>
        </is>
      </c>
      <c r="F34" s="8" t="n"/>
    </row>
    <row r="35">
      <c r="A35" s="2" t="inlineStr">
        <is>
          <t>果物</t>
        </is>
      </c>
      <c r="B35" s="2" t="inlineStr">
        <is>
          <t>いちご</t>
        </is>
      </c>
      <c r="C35" s="2" t="n">
        <v>1</v>
      </c>
      <c r="D35" s="2" t="inlineStr">
        <is>
          <t>パック</t>
        </is>
      </c>
      <c r="E35" s="2" t="inlineStr">
        <is>
          <t>昼</t>
        </is>
      </c>
      <c r="F35" s="8" t="n"/>
    </row>
    <row r="36">
      <c r="A36" s="2" t="inlineStr">
        <is>
          <t>果物</t>
        </is>
      </c>
      <c r="B36" s="2" t="inlineStr">
        <is>
          <t>バナナ</t>
        </is>
      </c>
      <c r="C36" s="2" t="n">
        <v>1</v>
      </c>
      <c r="D36" s="2" t="inlineStr">
        <is>
          <t>房</t>
        </is>
      </c>
      <c r="E36" s="2" t="inlineStr">
        <is>
          <t>朝食・間食</t>
        </is>
      </c>
      <c r="F36" s="8" t="n"/>
    </row>
    <row r="37">
      <c r="A37" s="2" t="inlineStr">
        <is>
          <t>主食</t>
        </is>
      </c>
      <c r="B37" s="2" t="inlineStr">
        <is>
          <t>米</t>
        </is>
      </c>
      <c r="C37" s="2" t="n">
        <v>1.5</v>
      </c>
      <c r="D37" s="2" t="inlineStr">
        <is>
          <t>kg</t>
        </is>
      </c>
      <c r="E37" s="2" t="inlineStr">
        <is>
          <t>毎食</t>
        </is>
      </c>
      <c r="F37" s="8" t="n"/>
    </row>
    <row r="38">
      <c r="A38" s="2" t="inlineStr">
        <is>
          <t>主食</t>
        </is>
      </c>
      <c r="B38" s="2" t="inlineStr">
        <is>
          <t>食パン</t>
        </is>
      </c>
      <c r="C38" s="2" t="n">
        <v>1</v>
      </c>
      <c r="D38" s="2" t="inlineStr">
        <is>
          <t>袋</t>
        </is>
      </c>
      <c r="E38" s="2" t="inlineStr">
        <is>
          <t>朝食</t>
        </is>
      </c>
      <c r="F38" s="8" t="n"/>
    </row>
    <row r="39">
      <c r="A39" s="2" t="inlineStr">
        <is>
          <t>主食</t>
        </is>
      </c>
      <c r="B39" s="2" t="inlineStr">
        <is>
          <t>焼きのり</t>
        </is>
      </c>
      <c r="C39" s="2" t="n">
        <v>1</v>
      </c>
      <c r="D39" s="2" t="inlineStr">
        <is>
          <t>袋</t>
        </is>
      </c>
      <c r="E39" s="2" t="inlineStr">
        <is>
          <t>おにぎり</t>
        </is>
      </c>
      <c r="F39" s="8" t="n"/>
    </row>
    <row r="40">
      <c r="A40" s="2" t="inlineStr">
        <is>
          <t>調味料</t>
        </is>
      </c>
      <c r="B40" s="2" t="inlineStr">
        <is>
          <t>味噌・顆粒だし・しょうゆ・みりん・酒・砂糖・塩</t>
        </is>
      </c>
      <c r="C40" s="2" t="n">
        <v>1</v>
      </c>
      <c r="D40" s="2" t="inlineStr">
        <is>
          <t>式</t>
        </is>
      </c>
      <c r="E40" s="2" t="inlineStr">
        <is>
          <t>在庫を確認</t>
        </is>
      </c>
      <c r="F40" s="8" t="n"/>
    </row>
    <row r="41">
      <c r="A41" s="2" t="inlineStr">
        <is>
          <t>調味料</t>
        </is>
      </c>
      <c r="B41" s="2" t="inlineStr">
        <is>
          <t>白すりごま・かつお節・めんつゆ・ポン酢・バター・お好み焼きソース</t>
        </is>
      </c>
      <c r="C41" s="2" t="n">
        <v>1</v>
      </c>
      <c r="D41" s="2" t="inlineStr">
        <is>
          <t>式</t>
        </is>
      </c>
      <c r="E41" s="2" t="inlineStr">
        <is>
          <t>在庫を確認</t>
        </is>
      </c>
      <c r="F41" s="8" t="n"/>
    </row>
    <row r="43">
      <c r="A43" s="5" t="inlineStr">
        <is>
          <t>品目数</t>
        </is>
      </c>
      <c r="B43" s="6">
        <f>COUNTA(B2:B41)</f>
        <v/>
      </c>
    </row>
    <row r="44">
      <c r="A44" s="5" t="inlineStr">
        <is>
          <t>購入済</t>
        </is>
      </c>
      <c r="B44" s="6">
        <f>COUNTIF(F2:F41,"○")</f>
        <v/>
      </c>
    </row>
    <row r="45">
      <c r="A45" s="5" t="inlineStr">
        <is>
          <t>残り</t>
        </is>
      </c>
      <c r="B45" s="6">
        <f>B43-B44</f>
        <v/>
      </c>
    </row>
    <row r="47">
      <c r="A47" s="3" t="inlineStr">
        <is>
          <t>数量は2人分の概算(Claudeの推定)。在庫を差し引いて調整。F列に○を入れると集計される。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内容</t>
        </is>
      </c>
      <c r="B1" s="1" t="inlineStr">
        <is>
          <t>出典</t>
        </is>
      </c>
    </row>
    <row r="2">
      <c r="A2" s="2" t="inlineStr">
        <is>
          <t>主食+主菜+副菜をそろえると栄養がととのいやすい</t>
        </is>
      </c>
      <c r="B2" s="9" t="inlineStr">
        <is>
          <t>https://www.city.bunkyo.lg.jp/documents/1540/2024321215312.pdf</t>
        </is>
      </c>
    </row>
    <row r="3">
      <c r="A3" s="2" t="inlineStr">
        <is>
          <t>授乳中は妊娠前より約350kcal・たんぱく質約20gの上乗せが勧められる</t>
        </is>
      </c>
      <c r="B3" s="9" t="inlineStr">
        <is>
          <t>https://www.med.jrc.or.jp/Portals/0/resources/hospital/clinic/sanka/eiyo.pdf</t>
        </is>
      </c>
    </row>
    <row r="4">
      <c r="A4" s="2" t="inlineStr">
        <is>
          <t>鉄はビタミンCと一緒に。和食中心・脂っこい物と菓子は控えめ・水分補給</t>
        </is>
      </c>
      <c r="B4" s="9" t="inlineStr">
        <is>
          <t>https://www.kenko-shokuiku.city.nagoya.jp/pdf/ninsanpu_syokuji.pdf</t>
        </is>
      </c>
    </row>
    <row r="5">
      <c r="A5" s="2" t="inlineStr">
        <is>
          <t>日本人の食事摂取基準(2025年版)公式</t>
        </is>
      </c>
      <c r="B5" s="9" t="inlineStr">
        <is>
          <t>https://www.mhlw.go.jp/content/10904750/001542297.pdf</t>
        </is>
      </c>
    </row>
    <row r="6">
      <c r="A6" s="2" t="inlineStr">
        <is>
          <t>冷凍野菜の栄養(生より少ないビタミンCもある)</t>
        </is>
      </c>
      <c r="B6" s="9" t="inlineStr">
        <is>
          <t>https://hugkum.sho.jp/402470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2026-10-05T08:49:42Z</dcterms:created>
  <dcterms:modified xsi:type="dcterms:W3CDTF">2026-10-05T08:49:42Z</dcterms:modified>
</cp:coreProperties>
</file>