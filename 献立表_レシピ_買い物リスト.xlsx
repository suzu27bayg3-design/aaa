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献立表" sheetId="1" state="visible" r:id="rId1"/>
    <sheet name="作り置き" sheetId="2" state="visible" r:id="rId2"/>
    <sheet name="レシピ" sheetId="3" state="visible" r:id="rId3"/>
    <sheet name="買い物リスト" sheetId="4" state="visible" r:id="rId4"/>
    <sheet name="出典・基礎原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eiryo"/>
      <b val="1"/>
      <color rgb="00FFFFFF"/>
    </font>
    <font>
      <name val="Meiryo"/>
      <sz val="10"/>
    </font>
    <font>
      <name val="Meiryo"/>
      <i val="1"/>
      <sz val="9"/>
    </font>
    <font>
      <name val="Meiryo"/>
      <color rgb="000563C1"/>
      <sz val="10"/>
      <u val="single"/>
    </font>
    <font>
      <name val="Meiryo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delishkitchen.tv/recipes/202971540197736870" TargetMode="External" Id="rId1" /><Relationship Type="http://schemas.openxmlformats.org/officeDocument/2006/relationships/hyperlink" Target="https://delishkitchen.tv/recipes/149665586794725670" TargetMode="External" Id="rId2" /><Relationship Type="http://schemas.openxmlformats.org/officeDocument/2006/relationships/hyperlink" Target="https://delishkitchen.tv/recipes/379110584001496297" TargetMode="External" Id="rId3" /><Relationship Type="http://schemas.openxmlformats.org/officeDocument/2006/relationships/hyperlink" Target="https://delishkitchen.tv/recipes/153240773708480781" TargetMode="External" Id="rId4" /><Relationship Type="http://schemas.openxmlformats.org/officeDocument/2006/relationships/hyperlink" Target="https://delishkitchen.tv/recipes/337352711349470342" TargetMode="External" Id="rId5" /><Relationship Type="http://schemas.openxmlformats.org/officeDocument/2006/relationships/hyperlink" Target="https://delishkitchen.tv/recipes/357472571177829394" TargetMode="External" Id="rId6" /><Relationship Type="http://schemas.openxmlformats.org/officeDocument/2006/relationships/hyperlink" Target="https://delishkitchen.tv/recipes/173108175090745836" TargetMode="External" Id="rId7" /><Relationship Type="http://schemas.openxmlformats.org/officeDocument/2006/relationships/hyperlink" Target="https://delishkitchen.tv/recipes/292861887203246397" TargetMode="External" Id="rId8" /><Relationship Type="http://schemas.openxmlformats.org/officeDocument/2006/relationships/hyperlink" Target="https://delishkitchen.tv/recipes/329056906922427410" TargetMode="External" Id="rId9" /><Relationship Type="http://schemas.openxmlformats.org/officeDocument/2006/relationships/hyperlink" Target="https://delishkitchen.tv/recipes/139805641278488995" TargetMode="External" Id="rId10" /><Relationship Type="http://schemas.openxmlformats.org/officeDocument/2006/relationships/hyperlink" Target="https://delishkitchen.tv/recipes/390846387756991532" TargetMode="External" Id="rId11" /><Relationship Type="http://schemas.openxmlformats.org/officeDocument/2006/relationships/hyperlink" Target="https://delishkitchen.tv/recipes/194111675098464660" TargetMode="External" Id="rId12" /><Relationship Type="http://schemas.openxmlformats.org/officeDocument/2006/relationships/hyperlink" Target="https://delishkitchen.tv/recipes/180204471723229588" TargetMode="External" Id="rId13" /><Relationship Type="http://schemas.openxmlformats.org/officeDocument/2006/relationships/hyperlink" Target="https://delishkitchen.tv/recipes/525069606923010402" TargetMode="External" Id="rId14" /><Relationship Type="http://schemas.openxmlformats.org/officeDocument/2006/relationships/hyperlink" Target="https://delishkitchen.tv/recipes/419552908254642504" TargetMode="External" Id="rId15" /><Relationship Type="http://schemas.openxmlformats.org/officeDocument/2006/relationships/hyperlink" Target="https://delishkitchen.tv/curations/7597" TargetMode="External" Id="rId16" /><Relationship Type="http://schemas.openxmlformats.org/officeDocument/2006/relationships/hyperlink" Target="https://delishkitchen.tv/articles/31" TargetMode="External" Id="rId17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city.bunkyo.lg.jp/documents/1540/2024321215312.pdf" TargetMode="External" Id="rId1" /><Relationship Type="http://schemas.openxmlformats.org/officeDocument/2006/relationships/hyperlink" Target="https://www.med.jrc.or.jp/Portals/0/resources/hospital/clinic/sanka/eiyo.pdf" TargetMode="External" Id="rId2" /><Relationship Type="http://schemas.openxmlformats.org/officeDocument/2006/relationships/hyperlink" Target="https://www.kenko-shokuiku.city.nagoya.jp/pdf/ninsanpu_syokuji.pdf" TargetMode="External" Id="rId3" /><Relationship Type="http://schemas.openxmlformats.org/officeDocument/2006/relationships/hyperlink" Target="https://www.mhlw.go.jp/content/10904750/001542297.pdf" TargetMode="External" Id="rId4" /><Relationship Type="http://schemas.openxmlformats.org/officeDocument/2006/relationships/hyperlink" Target="https://hugkum.sho.jp/402470" TargetMode="Externa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34" customWidth="1" min="3" max="3"/>
    <col width="38" customWidth="1" min="4" max="4"/>
    <col width="42" customWidth="1" min="5" max="5"/>
    <col width="26" customWidth="1" min="6" max="6"/>
  </cols>
  <sheetData>
    <row r="1">
      <c r="A1" s="1" t="inlineStr">
        <is>
          <t>日付</t>
        </is>
      </c>
      <c r="B1" s="1" t="inlineStr">
        <is>
          <t>曜日</t>
        </is>
      </c>
      <c r="C1" s="1" t="inlineStr">
        <is>
          <t>朝</t>
        </is>
      </c>
      <c r="D1" s="1" t="inlineStr">
        <is>
          <t>昼</t>
        </is>
      </c>
      <c r="E1" s="1" t="inlineStr">
        <is>
          <t>夜</t>
        </is>
      </c>
      <c r="F1" s="1" t="inlineStr">
        <is>
          <t>間食</t>
        </is>
      </c>
    </row>
    <row r="2" ht="48" customHeight="1">
      <c r="A2" s="2" t="inlineStr">
        <is>
          <t>10/19</t>
        </is>
      </c>
      <c r="B2" s="2" t="inlineStr">
        <is>
          <t>月</t>
        </is>
      </c>
      <c r="C2" s="2" t="inlineStr">
        <is>
          <t>ご飯 / さつまいもと厚揚げの味噌汁 / 納豆</t>
        </is>
      </c>
      <c r="D2" s="2" t="inlineStr">
        <is>
          <t>蒸し鶏+冷凍ブロッコリー / ご飯</t>
        </is>
      </c>
      <c r="E2" s="2" t="inlineStr">
        <is>
          <t>肉じゃが / ほうれん草と卵のソテー / ご飯</t>
        </is>
      </c>
      <c r="F2" s="2" t="inlineStr">
        <is>
          <t>ヨーグルト+冷凍ブルーベリー</t>
        </is>
      </c>
    </row>
    <row r="3" ht="48" customHeight="1">
      <c r="A3" s="2" t="inlineStr">
        <is>
          <t>10/20</t>
        </is>
      </c>
      <c r="B3" s="2" t="inlineStr">
        <is>
          <t>火</t>
        </is>
      </c>
      <c r="C3" s="2" t="inlineStr">
        <is>
          <t>トースト / ヨーグルト+冷凍ブルーベリー / バナナ</t>
        </is>
      </c>
      <c r="D3" s="2" t="inlineStr">
        <is>
          <t>筑前煮 / ご飯 / 味噌汁</t>
        </is>
      </c>
      <c r="E3" s="2" t="inlineStr">
        <is>
          <t>タラのムニエル / 冷凍ブロッコリー / ご飯 / 味噌汁</t>
        </is>
      </c>
      <c r="F3" s="2" t="inlineStr">
        <is>
          <t>バナナ</t>
        </is>
      </c>
    </row>
    <row r="4" ht="48" customHeight="1">
      <c r="A4" s="2" t="inlineStr">
        <is>
          <t>10/21</t>
        </is>
      </c>
      <c r="B4" s="2" t="inlineStr">
        <is>
          <t>水</t>
        </is>
      </c>
      <c r="C4" s="2" t="inlineStr">
        <is>
          <t>ご飯 / ゆで卵 / 白菜とさつまいもの味噌汁</t>
        </is>
      </c>
      <c r="D4" s="2" t="inlineStr">
        <is>
          <t>カオマンガイ風 蒸し鶏ごはん</t>
        </is>
      </c>
      <c r="E4" s="2" t="inlineStr">
        <is>
          <t>鶏肉とほうれん草のクリームシチュー / パン</t>
        </is>
      </c>
      <c r="F4" s="2" t="inlineStr">
        <is>
          <t>チーズ・ナッツ</t>
        </is>
      </c>
    </row>
    <row r="5" ht="48" customHeight="1">
      <c r="A5" s="2" t="inlineStr">
        <is>
          <t>10/22</t>
        </is>
      </c>
      <c r="B5" s="2" t="inlineStr">
        <is>
          <t>木</t>
        </is>
      </c>
      <c r="C5" s="2" t="inlineStr">
        <is>
          <t>トースト / チーズ / 牛乳 / バナナ</t>
        </is>
      </c>
      <c r="D5" s="2" t="inlineStr">
        <is>
          <t>シチューの残り / ご飯</t>
        </is>
      </c>
      <c r="E5" s="2" t="inlineStr">
        <is>
          <t>鮭としめじの炊き込みごはん / 味噌汁 / ほうれん草のおひたし</t>
        </is>
      </c>
      <c r="F5" s="2" t="inlineStr">
        <is>
          <t>ヨーグルト+ブルーベリー</t>
        </is>
      </c>
    </row>
    <row r="6" ht="48" customHeight="1">
      <c r="A6" s="2" t="inlineStr">
        <is>
          <t>10/23</t>
        </is>
      </c>
      <c r="B6" s="2" t="inlineStr">
        <is>
          <t>金</t>
        </is>
      </c>
      <c r="C6" s="2" t="inlineStr">
        <is>
          <t>炊き込みご飯の残り / ゆで卵</t>
        </is>
      </c>
      <c r="D6" s="2" t="inlineStr">
        <is>
          <t>肉じゃがの残り / ご飯</t>
        </is>
      </c>
      <c r="E6" s="2" t="inlineStr">
        <is>
          <t>肉豆腐 / 冷凍ブロッコリー / ご飯</t>
        </is>
      </c>
      <c r="F6" s="2" t="inlineStr">
        <is>
          <t>バナナ</t>
        </is>
      </c>
    </row>
    <row r="7" ht="48" customHeight="1">
      <c r="A7" s="2" t="inlineStr">
        <is>
          <t>10/24</t>
        </is>
      </c>
      <c r="B7" s="2" t="inlineStr">
        <is>
          <t>土</t>
        </is>
      </c>
      <c r="C7" s="2" t="inlineStr">
        <is>
          <t>トースト / 卵 / 牛乳</t>
        </is>
      </c>
      <c r="D7" s="2" t="inlineStr">
        <is>
          <t>豚肉とさつまいもの味噌汁 / おにぎり</t>
        </is>
      </c>
      <c r="E7" s="2" t="inlineStr">
        <is>
          <t>塩サバの味噌煮 / ご飯 / 味噌汁</t>
        </is>
      </c>
      <c r="F7" s="2" t="inlineStr">
        <is>
          <t>ナッツ・牛乳</t>
        </is>
      </c>
    </row>
    <row r="8" ht="48" customHeight="1">
      <c r="A8" s="2" t="inlineStr">
        <is>
          <t>10/25</t>
        </is>
      </c>
      <c r="B8" s="2" t="inlineStr">
        <is>
          <t>日</t>
        </is>
      </c>
      <c r="C8" s="2" t="inlineStr">
        <is>
          <t>簡単に(作り置きの仕込み)</t>
        </is>
      </c>
      <c r="D8" s="2" t="inlineStr">
        <is>
          <t>惣菜・宅配も可</t>
        </is>
      </c>
      <c r="E8" s="2" t="inlineStr">
        <is>
          <t>余り物で調整</t>
        </is>
      </c>
      <c r="F8" s="2" t="inlineStr">
        <is>
          <t>―</t>
        </is>
      </c>
    </row>
    <row r="10">
      <c r="A10" s="3" t="inlineStr">
        <is>
          <t>授乳中は妊娠前より約350kcal・たんぱく質約20gの上乗せが勧められる。ミルク併用でも量は本人の食欲に合わせる。作り置きは前日(日曜10/18)に調理。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16" customWidth="1" min="3" max="3"/>
    <col width="22" customWidth="1" min="4" max="4"/>
    <col width="56" customWidth="1" min="5" max="5"/>
  </cols>
  <sheetData>
    <row r="1">
      <c r="A1" s="1" t="inlineStr">
        <is>
          <t>順</t>
        </is>
      </c>
      <c r="B1" s="1" t="inlineStr">
        <is>
          <t>品名</t>
        </is>
      </c>
      <c r="C1" s="1" t="inlineStr">
        <is>
          <t>目安</t>
        </is>
      </c>
      <c r="D1" s="1" t="inlineStr">
        <is>
          <t>使う日</t>
        </is>
      </c>
      <c r="E1" s="1" t="inlineStr">
        <is>
          <t>メモ</t>
        </is>
      </c>
    </row>
    <row r="2" ht="32" customHeight="1">
      <c r="A2" s="2" t="n">
        <v>1</v>
      </c>
      <c r="B2" s="2" t="inlineStr">
        <is>
          <t>ご飯を炊いて小分け冷凍</t>
        </is>
      </c>
      <c r="C2" s="2" t="inlineStr">
        <is>
          <t>約5合</t>
        </is>
      </c>
      <c r="D2" s="2" t="inlineStr">
        <is>
          <t>毎食</t>
        </is>
      </c>
      <c r="E2" s="2" t="inlineStr">
        <is>
          <t>最初に炊飯器をセット(提案)</t>
        </is>
      </c>
    </row>
    <row r="3" ht="32" customHeight="1">
      <c r="A3" s="2" t="n">
        <v>2</v>
      </c>
      <c r="B3" s="2" t="inlineStr">
        <is>
          <t>筑前煮</t>
        </is>
      </c>
      <c r="C3" s="2" t="inlineStr">
        <is>
          <t>約4人分</t>
        </is>
      </c>
      <c r="D3" s="2" t="inlineStr">
        <is>
          <t>火昼</t>
        </is>
      </c>
      <c r="E3" s="2" t="inlineStr">
        <is>
          <t>干ししいたけは前日に戻しておく(戻し汁を使う)</t>
        </is>
      </c>
    </row>
    <row r="4" ht="32" customHeight="1">
      <c r="A4" s="2" t="n">
        <v>3</v>
      </c>
      <c r="B4" s="2" t="inlineStr">
        <is>
          <t>蒸し鶏(生姜風味・レンジ)</t>
        </is>
      </c>
      <c r="C4" s="2" t="inlineStr">
        <is>
          <t>むね肉1枚</t>
        </is>
      </c>
      <c r="D4" s="2" t="inlineStr">
        <is>
          <t>月昼・水昼</t>
        </is>
      </c>
      <c r="E4" s="2" t="inlineStr">
        <is>
          <t>レンジ加熱後、粗熱を取って保存</t>
        </is>
      </c>
    </row>
    <row r="5" ht="32" customHeight="1">
      <c r="A5" s="2" t="n">
        <v>4</v>
      </c>
      <c r="B5" s="2" t="inlineStr">
        <is>
          <t>ゆで卵</t>
        </is>
      </c>
      <c r="C5" s="2" t="inlineStr">
        <is>
          <t>6個</t>
        </is>
      </c>
      <c r="D5" s="2" t="inlineStr">
        <is>
          <t>水朝・金朝ほか</t>
        </is>
      </c>
      <c r="E5" s="2" t="inlineStr">
        <is>
          <t>―</t>
        </is>
      </c>
    </row>
    <row r="8">
      <c r="A8" s="3" t="inlineStr">
        <is>
          <t>所要時間の目安は1〜2時間(提案・未検証)。保存日数が記載されていない品は、早めに食べ切る。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20" customWidth="1" min="3" max="3"/>
    <col width="62" customWidth="1" min="4" max="4"/>
    <col width="44" customWidth="1" min="5" max="5"/>
  </cols>
  <sheetData>
    <row r="1">
      <c r="A1" s="1" t="inlineStr">
        <is>
          <t>料理名</t>
        </is>
      </c>
      <c r="B1" s="1" t="inlineStr">
        <is>
          <t>役割</t>
        </is>
      </c>
      <c r="C1" s="1" t="inlineStr">
        <is>
          <t>使う日</t>
        </is>
      </c>
      <c r="D1" s="1" t="inlineStr">
        <is>
          <t>出典(デリッシュキッチン)</t>
        </is>
      </c>
      <c r="E1" s="1" t="inlineStr">
        <is>
          <t>メモ</t>
        </is>
      </c>
    </row>
    <row r="2">
      <c r="A2" s="2" t="inlineStr">
        <is>
          <t>筑前煮</t>
        </is>
      </c>
      <c r="B2" s="2" t="inlineStr">
        <is>
          <t>主菜+副菜(作り置き)</t>
        </is>
      </c>
      <c r="C2" s="2" t="inlineStr">
        <is>
          <t>火昼</t>
        </is>
      </c>
      <c r="D2" s="4" t="inlineStr">
        <is>
          <t>https://delishkitchen.tv/recipes/202971540197736870</t>
        </is>
      </c>
      <c r="E2" s="2" t="inlineStr">
        <is>
          <t>日曜に作る。干ししいたけの戻し汁を煮汁に使う</t>
        </is>
      </c>
    </row>
    <row r="3">
      <c r="A3" s="2" t="inlineStr">
        <is>
          <t>蒸し鶏(生姜風味・レンジ)</t>
        </is>
      </c>
      <c r="B3" s="2" t="inlineStr">
        <is>
          <t>主菜(作り置き)</t>
        </is>
      </c>
      <c r="C3" s="2" t="inlineStr">
        <is>
          <t>月昼・水昼</t>
        </is>
      </c>
      <c r="D3" s="4" t="inlineStr">
        <is>
          <t>https://delishkitchen.tv/recipes/149665586794725670</t>
        </is>
      </c>
      <c r="E3" s="2" t="inlineStr">
        <is>
          <t>鶏むね肉を使用</t>
        </is>
      </c>
    </row>
    <row r="4">
      <c r="A4" s="2" t="inlineStr">
        <is>
          <t>さつまいもと厚揚げの味噌汁</t>
        </is>
      </c>
      <c r="B4" s="2" t="inlineStr">
        <is>
          <t>汁物</t>
        </is>
      </c>
      <c r="C4" s="2" t="inlineStr">
        <is>
          <t>月朝</t>
        </is>
      </c>
      <c r="D4" s="4" t="inlineStr">
        <is>
          <t>https://delishkitchen.tv/recipes/379110584001496297</t>
        </is>
      </c>
      <c r="E4" s="2" t="inlineStr"/>
    </row>
    <row r="5">
      <c r="A5" s="2" t="inlineStr">
        <is>
          <t>肉じゃが(基本)</t>
        </is>
      </c>
      <c r="B5" s="2" t="inlineStr">
        <is>
          <t>主菜+副菜</t>
        </is>
      </c>
      <c r="C5" s="2" t="inlineStr">
        <is>
          <t>月夜・金昼</t>
        </is>
      </c>
      <c r="D5" s="4" t="inlineStr">
        <is>
          <t>https://delishkitchen.tv/recipes/153240773708480781</t>
        </is>
      </c>
      <c r="E5" s="2" t="inlineStr">
        <is>
          <t>残りを翌昼に回す</t>
        </is>
      </c>
    </row>
    <row r="6">
      <c r="A6" s="2" t="inlineStr">
        <is>
          <t>ほうれん草と卵のソテー</t>
        </is>
      </c>
      <c r="B6" s="2" t="inlineStr">
        <is>
          <t>副菜</t>
        </is>
      </c>
      <c r="C6" s="2" t="inlineStr">
        <is>
          <t>月夜</t>
        </is>
      </c>
      <c r="D6" s="4" t="inlineStr">
        <is>
          <t>https://delishkitchen.tv/recipes/337352711349470342</t>
        </is>
      </c>
      <c r="E6" s="2" t="inlineStr"/>
    </row>
    <row r="7">
      <c r="A7" s="2" t="inlineStr">
        <is>
          <t>タラのムニエル</t>
        </is>
      </c>
      <c r="B7" s="2" t="inlineStr">
        <is>
          <t>主菜</t>
        </is>
      </c>
      <c r="C7" s="2" t="inlineStr">
        <is>
          <t>火夜</t>
        </is>
      </c>
      <c r="D7" s="4" t="inlineStr">
        <is>
          <t>https://delishkitchen.tv/recipes/357472571177829394</t>
        </is>
      </c>
      <c r="E7" s="2" t="inlineStr"/>
    </row>
    <row r="8">
      <c r="A8" s="2" t="inlineStr">
        <is>
          <t>白菜とさつまいもの味噌汁</t>
        </is>
      </c>
      <c r="B8" s="2" t="inlineStr">
        <is>
          <t>汁物</t>
        </is>
      </c>
      <c r="C8" s="2" t="inlineStr">
        <is>
          <t>水朝</t>
        </is>
      </c>
      <c r="D8" s="4" t="inlineStr">
        <is>
          <t>https://delishkitchen.tv/recipes/173108175090745836</t>
        </is>
      </c>
      <c r="E8" s="2" t="inlineStr"/>
    </row>
    <row r="9">
      <c r="A9" s="2" t="inlineStr">
        <is>
          <t>カオマンガイ風 蒸し鶏ごはん</t>
        </is>
      </c>
      <c r="B9" s="2" t="inlineStr">
        <is>
          <t>主食+主菜</t>
        </is>
      </c>
      <c r="C9" s="2" t="inlineStr">
        <is>
          <t>水昼</t>
        </is>
      </c>
      <c r="D9" s="4" t="inlineStr">
        <is>
          <t>https://delishkitchen.tv/recipes/292861887203246397</t>
        </is>
      </c>
      <c r="E9" s="2" t="inlineStr">
        <is>
          <t>作り置きの蒸し鶏を使う</t>
        </is>
      </c>
    </row>
    <row r="10">
      <c r="A10" s="2" t="inlineStr">
        <is>
          <t>鶏肉とほうれん草のクリームシチュー</t>
        </is>
      </c>
      <c r="B10" s="2" t="inlineStr">
        <is>
          <t>主菜+副菜</t>
        </is>
      </c>
      <c r="C10" s="2" t="inlineStr">
        <is>
          <t>水夜・木昼</t>
        </is>
      </c>
      <c r="D10" s="4" t="inlineStr">
        <is>
          <t>https://delishkitchen.tv/recipes/329056906922427410</t>
        </is>
      </c>
      <c r="E10" s="2" t="inlineStr">
        <is>
          <t>残りを翌昼に回す</t>
        </is>
      </c>
    </row>
    <row r="11">
      <c r="A11" s="2" t="inlineStr">
        <is>
          <t>鮭としめじの炊き込みごはん</t>
        </is>
      </c>
      <c r="B11" s="2" t="inlineStr">
        <is>
          <t>主食+主菜</t>
        </is>
      </c>
      <c r="C11" s="2" t="inlineStr">
        <is>
          <t>木夜・金朝</t>
        </is>
      </c>
      <c r="D11" s="4" t="inlineStr">
        <is>
          <t>https://delishkitchen.tv/recipes/139805641278488995</t>
        </is>
      </c>
      <c r="E11" s="2" t="inlineStr">
        <is>
          <t>残りを翌朝に回す</t>
        </is>
      </c>
    </row>
    <row r="12">
      <c r="A12" s="2" t="inlineStr">
        <is>
          <t>ほうれん草のおひたし</t>
        </is>
      </c>
      <c r="B12" s="2" t="inlineStr">
        <is>
          <t>副菜</t>
        </is>
      </c>
      <c r="C12" s="2" t="inlineStr">
        <is>
          <t>木夜</t>
        </is>
      </c>
      <c r="D12" s="4" t="inlineStr">
        <is>
          <t>https://delishkitchen.tv/recipes/390846387756991532</t>
        </is>
      </c>
      <c r="E12" s="2" t="inlineStr"/>
    </row>
    <row r="13">
      <c r="A13" s="2" t="inlineStr">
        <is>
          <t>肉豆腐</t>
        </is>
      </c>
      <c r="B13" s="2" t="inlineStr">
        <is>
          <t>主菜</t>
        </is>
      </c>
      <c r="C13" s="2" t="inlineStr">
        <is>
          <t>金夜</t>
        </is>
      </c>
      <c r="D13" s="4" t="inlineStr">
        <is>
          <t>https://delishkitchen.tv/recipes/194111675098464660</t>
        </is>
      </c>
      <c r="E13" s="2" t="inlineStr">
        <is>
          <t>リンクは牛肉。豚でも可</t>
        </is>
      </c>
    </row>
    <row r="14">
      <c r="A14" s="2" t="inlineStr">
        <is>
          <t>豚肉とさつまいもの味噌汁</t>
        </is>
      </c>
      <c r="B14" s="2" t="inlineStr">
        <is>
          <t>汁物</t>
        </is>
      </c>
      <c r="C14" s="2" t="inlineStr">
        <is>
          <t>土昼</t>
        </is>
      </c>
      <c r="D14" s="4" t="inlineStr">
        <is>
          <t>https://delishkitchen.tv/recipes/180204471723229588</t>
        </is>
      </c>
      <c r="E14" s="2" t="inlineStr"/>
    </row>
    <row r="15">
      <c r="A15" s="2" t="inlineStr">
        <is>
          <t>塩サバの味噌煮</t>
        </is>
      </c>
      <c r="B15" s="2" t="inlineStr">
        <is>
          <t>主菜</t>
        </is>
      </c>
      <c r="C15" s="2" t="inlineStr">
        <is>
          <t>土夜</t>
        </is>
      </c>
      <c r="D15" s="4" t="inlineStr">
        <is>
          <t>https://delishkitchen.tv/recipes/525069606923010402</t>
        </is>
      </c>
      <c r="E15" s="2" t="inlineStr"/>
    </row>
    <row r="17">
      <c r="A17" s="5" t="inlineStr">
        <is>
          <t>補足リンク</t>
        </is>
      </c>
    </row>
    <row r="18">
      <c r="A18" s="6" t="inlineStr">
        <is>
          <t>冷凍ブロッコリーの解凍方法</t>
        </is>
      </c>
      <c r="D18" s="7" t="inlineStr">
        <is>
          <t>https://delishkitchen.tv/recipes/419552908254642504</t>
        </is>
      </c>
    </row>
    <row r="19">
      <c r="A19" s="6" t="inlineStr">
        <is>
          <t>冷凍ブロッコリー活用レシピ19選</t>
        </is>
      </c>
      <c r="D19" s="7" t="inlineStr">
        <is>
          <t>https://delishkitchen.tv/curations/7597</t>
        </is>
      </c>
    </row>
    <row r="20">
      <c r="A20" s="6" t="inlineStr">
        <is>
          <t>冷凍ブルーベリーレシピ</t>
        </is>
      </c>
      <c r="D20" s="7" t="inlineStr">
        <is>
          <t>https://delishkitchen.tv/articles/31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8" r:id="rId15"/>
    <hyperlink xmlns:r="http://schemas.openxmlformats.org/officeDocument/2006/relationships" ref="D19" r:id="rId16"/>
    <hyperlink xmlns:r="http://schemas.openxmlformats.org/officeDocument/2006/relationships" ref="D20" r:id="rId1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8" customWidth="1" min="3" max="3"/>
    <col width="8" customWidth="1" min="4" max="4"/>
    <col width="38" customWidth="1" min="5" max="5"/>
    <col width="12" customWidth="1" min="6" max="6"/>
  </cols>
  <sheetData>
    <row r="1">
      <c r="A1" s="1" t="inlineStr">
        <is>
          <t>区分</t>
        </is>
      </c>
      <c r="B1" s="1" t="inlineStr">
        <is>
          <t>品名</t>
        </is>
      </c>
      <c r="C1" s="1" t="inlineStr">
        <is>
          <t>数量</t>
        </is>
      </c>
      <c r="D1" s="1" t="inlineStr">
        <is>
          <t>単位</t>
        </is>
      </c>
      <c r="E1" s="1" t="inlineStr">
        <is>
          <t>用途</t>
        </is>
      </c>
      <c r="F1" s="1" t="inlineStr">
        <is>
          <t>購入済(○)</t>
        </is>
      </c>
    </row>
    <row r="2">
      <c r="A2" s="2" t="inlineStr">
        <is>
          <t>肉・魚</t>
        </is>
      </c>
      <c r="B2" s="2" t="inlineStr">
        <is>
          <t>鶏むね肉</t>
        </is>
      </c>
      <c r="C2" s="2" t="n">
        <v>1</v>
      </c>
      <c r="D2" s="2" t="inlineStr">
        <is>
          <t>枚</t>
        </is>
      </c>
      <c r="E2" s="2" t="inlineStr">
        <is>
          <t>蒸し鶏</t>
        </is>
      </c>
      <c r="F2" s="8" t="n"/>
    </row>
    <row r="3">
      <c r="A3" s="2" t="inlineStr">
        <is>
          <t>肉・魚</t>
        </is>
      </c>
      <c r="B3" s="2" t="inlineStr">
        <is>
          <t>鶏もも肉</t>
        </is>
      </c>
      <c r="C3" s="2" t="n">
        <v>2</v>
      </c>
      <c r="D3" s="2" t="inlineStr">
        <is>
          <t>枚</t>
        </is>
      </c>
      <c r="E3" s="2" t="inlineStr">
        <is>
          <t>筑前煮・クリームシチュー</t>
        </is>
      </c>
      <c r="F3" s="8" t="n"/>
    </row>
    <row r="4">
      <c r="A4" s="2" t="inlineStr">
        <is>
          <t>肉・魚</t>
        </is>
      </c>
      <c r="B4" s="2" t="inlineStr">
        <is>
          <t>牛または豚の切り落とし</t>
        </is>
      </c>
      <c r="C4" s="2" t="n">
        <v>350</v>
      </c>
      <c r="D4" s="2" t="inlineStr">
        <is>
          <t>g</t>
        </is>
      </c>
      <c r="E4" s="2" t="inlineStr">
        <is>
          <t>肉じゃが・肉豆腐</t>
        </is>
      </c>
      <c r="F4" s="8" t="n"/>
    </row>
    <row r="5">
      <c r="A5" s="2" t="inlineStr">
        <is>
          <t>肉・魚</t>
        </is>
      </c>
      <c r="B5" s="2" t="inlineStr">
        <is>
          <t>豚こま切れ</t>
        </is>
      </c>
      <c r="C5" s="2" t="n">
        <v>100</v>
      </c>
      <c r="D5" s="2" t="inlineStr">
        <is>
          <t>g</t>
        </is>
      </c>
      <c r="E5" s="2" t="inlineStr">
        <is>
          <t>豚肉とさつまいもの味噌汁</t>
        </is>
      </c>
      <c r="F5" s="8" t="n"/>
    </row>
    <row r="6">
      <c r="A6" s="2" t="inlineStr">
        <is>
          <t>肉・魚</t>
        </is>
      </c>
      <c r="B6" s="2" t="inlineStr">
        <is>
          <t>タラ 切り身</t>
        </is>
      </c>
      <c r="C6" s="2" t="n">
        <v>2</v>
      </c>
      <c r="D6" s="2" t="inlineStr">
        <is>
          <t>切れ</t>
        </is>
      </c>
      <c r="E6" s="2" t="inlineStr">
        <is>
          <t>ムニエル</t>
        </is>
      </c>
      <c r="F6" s="8" t="n"/>
    </row>
    <row r="7">
      <c r="A7" s="2" t="inlineStr">
        <is>
          <t>肉・魚</t>
        </is>
      </c>
      <c r="B7" s="2" t="inlineStr">
        <is>
          <t>生鮭 切り身</t>
        </is>
      </c>
      <c r="C7" s="2" t="n">
        <v>2</v>
      </c>
      <c r="D7" s="2" t="inlineStr">
        <is>
          <t>切れ</t>
        </is>
      </c>
      <c r="E7" s="2" t="inlineStr">
        <is>
          <t>炊き込みごはん</t>
        </is>
      </c>
      <c r="F7" s="8" t="n"/>
    </row>
    <row r="8">
      <c r="A8" s="2" t="inlineStr">
        <is>
          <t>肉・魚</t>
        </is>
      </c>
      <c r="B8" s="2" t="inlineStr">
        <is>
          <t>塩サバ</t>
        </is>
      </c>
      <c r="C8" s="2" t="n">
        <v>2</v>
      </c>
      <c r="D8" s="2" t="inlineStr">
        <is>
          <t>切れ</t>
        </is>
      </c>
      <c r="E8" s="2" t="inlineStr">
        <is>
          <t>味噌煮</t>
        </is>
      </c>
      <c r="F8" s="8" t="n"/>
    </row>
    <row r="9">
      <c r="A9" s="2" t="inlineStr">
        <is>
          <t>卵・大豆・乳</t>
        </is>
      </c>
      <c r="B9" s="2" t="inlineStr">
        <is>
          <t>卵</t>
        </is>
      </c>
      <c r="C9" s="2" t="n">
        <v>10</v>
      </c>
      <c r="D9" s="2" t="inlineStr">
        <is>
          <t>個</t>
        </is>
      </c>
      <c r="E9" s="2" t="inlineStr">
        <is>
          <t>ゆで卵・ソテー・朝食</t>
        </is>
      </c>
      <c r="F9" s="8" t="n"/>
    </row>
    <row r="10">
      <c r="A10" s="2" t="inlineStr">
        <is>
          <t>卵・大豆・乳</t>
        </is>
      </c>
      <c r="B10" s="2" t="inlineStr">
        <is>
          <t>木綿豆腐</t>
        </is>
      </c>
      <c r="C10" s="2" t="n">
        <v>1</v>
      </c>
      <c r="D10" s="2" t="inlineStr">
        <is>
          <t>丁</t>
        </is>
      </c>
      <c r="E10" s="2" t="inlineStr">
        <is>
          <t>肉豆腐</t>
        </is>
      </c>
      <c r="F10" s="8" t="n"/>
    </row>
    <row r="11">
      <c r="A11" s="2" t="inlineStr">
        <is>
          <t>卵・大豆・乳</t>
        </is>
      </c>
      <c r="B11" s="2" t="inlineStr">
        <is>
          <t>厚揚げ</t>
        </is>
      </c>
      <c r="C11" s="2" t="n">
        <v>1</v>
      </c>
      <c r="D11" s="2" t="inlineStr">
        <is>
          <t>丁</t>
        </is>
      </c>
      <c r="E11" s="2" t="inlineStr">
        <is>
          <t>味噌汁</t>
        </is>
      </c>
      <c r="F11" s="8" t="n"/>
    </row>
    <row r="12">
      <c r="A12" s="2" t="inlineStr">
        <is>
          <t>卵・大豆・乳</t>
        </is>
      </c>
      <c r="B12" s="2" t="inlineStr">
        <is>
          <t>納豆</t>
        </is>
      </c>
      <c r="C12" s="2" t="n">
        <v>2</v>
      </c>
      <c r="D12" s="2" t="inlineStr">
        <is>
          <t>パック</t>
        </is>
      </c>
      <c r="E12" s="2" t="inlineStr">
        <is>
          <t>朝食</t>
        </is>
      </c>
      <c r="F12" s="8" t="n"/>
    </row>
    <row r="13">
      <c r="A13" s="2" t="inlineStr">
        <is>
          <t>卵・大豆・乳</t>
        </is>
      </c>
      <c r="B13" s="2" t="inlineStr">
        <is>
          <t>牛乳 1L</t>
        </is>
      </c>
      <c r="C13" s="2" t="n">
        <v>2</v>
      </c>
      <c r="D13" s="2" t="inlineStr">
        <is>
          <t>本</t>
        </is>
      </c>
      <c r="E13" s="2" t="inlineStr">
        <is>
          <t>シチュー・朝食</t>
        </is>
      </c>
      <c r="F13" s="8" t="n"/>
    </row>
    <row r="14">
      <c r="A14" s="2" t="inlineStr">
        <is>
          <t>卵・大豆・乳</t>
        </is>
      </c>
      <c r="B14" s="2" t="inlineStr">
        <is>
          <t>無糖ヨーグルト 400g</t>
        </is>
      </c>
      <c r="C14" s="2" t="n">
        <v>1</v>
      </c>
      <c r="D14" s="2" t="inlineStr">
        <is>
          <t>個</t>
        </is>
      </c>
      <c r="E14" s="2" t="inlineStr">
        <is>
          <t>朝食・間食</t>
        </is>
      </c>
      <c r="F14" s="8" t="n"/>
    </row>
    <row r="15">
      <c r="A15" s="2" t="inlineStr">
        <is>
          <t>卵・大豆・乳</t>
        </is>
      </c>
      <c r="B15" s="2" t="inlineStr">
        <is>
          <t>スライスチーズ</t>
        </is>
      </c>
      <c r="C15" s="2" t="n">
        <v>1</v>
      </c>
      <c r="D15" s="2" t="inlineStr">
        <is>
          <t>袋</t>
        </is>
      </c>
      <c r="E15" s="2" t="inlineStr">
        <is>
          <t>朝食・間食</t>
        </is>
      </c>
      <c r="F15" s="8" t="n"/>
    </row>
    <row r="16">
      <c r="A16" s="2" t="inlineStr">
        <is>
          <t>野菜</t>
        </is>
      </c>
      <c r="B16" s="2" t="inlineStr">
        <is>
          <t>じゃがいも</t>
        </is>
      </c>
      <c r="C16" s="2" t="n">
        <v>5</v>
      </c>
      <c r="D16" s="2" t="inlineStr">
        <is>
          <t>個</t>
        </is>
      </c>
      <c r="E16" s="2" t="inlineStr">
        <is>
          <t>肉じゃが・シチュー</t>
        </is>
      </c>
      <c r="F16" s="8" t="n"/>
    </row>
    <row r="17">
      <c r="A17" s="2" t="inlineStr">
        <is>
          <t>野菜</t>
        </is>
      </c>
      <c r="B17" s="2" t="inlineStr">
        <is>
          <t>にんじん</t>
        </is>
      </c>
      <c r="C17" s="2" t="n">
        <v>3</v>
      </c>
      <c r="D17" s="2" t="inlineStr">
        <is>
          <t>本</t>
        </is>
      </c>
      <c r="E17" s="2" t="inlineStr">
        <is>
          <t>肉じゃが・筑前煮・シチュー</t>
        </is>
      </c>
      <c r="F17" s="8" t="n"/>
    </row>
    <row r="18">
      <c r="A18" s="2" t="inlineStr">
        <is>
          <t>野菜</t>
        </is>
      </c>
      <c r="B18" s="2" t="inlineStr">
        <is>
          <t>玉ねぎ</t>
        </is>
      </c>
      <c r="C18" s="2" t="n">
        <v>3</v>
      </c>
      <c r="D18" s="2" t="inlineStr">
        <is>
          <t>個</t>
        </is>
      </c>
      <c r="E18" s="2" t="inlineStr">
        <is>
          <t>肉じゃがほか</t>
        </is>
      </c>
      <c r="F18" s="8" t="n"/>
    </row>
    <row r="19">
      <c r="A19" s="2" t="inlineStr">
        <is>
          <t>野菜</t>
        </is>
      </c>
      <c r="B19" s="2" t="inlineStr">
        <is>
          <t>さつまいも</t>
        </is>
      </c>
      <c r="C19" s="2" t="n">
        <v>2</v>
      </c>
      <c r="D19" s="2" t="inlineStr">
        <is>
          <t>本</t>
        </is>
      </c>
      <c r="E19" s="2" t="inlineStr">
        <is>
          <t>味噌汁</t>
        </is>
      </c>
      <c r="F19" s="8" t="n"/>
    </row>
    <row r="20">
      <c r="A20" s="2" t="inlineStr">
        <is>
          <t>野菜</t>
        </is>
      </c>
      <c r="B20" s="2" t="inlineStr">
        <is>
          <t>白菜</t>
        </is>
      </c>
      <c r="C20" s="2" t="n">
        <v>0.25</v>
      </c>
      <c r="D20" s="2" t="inlineStr">
        <is>
          <t>個</t>
        </is>
      </c>
      <c r="E20" s="2" t="inlineStr">
        <is>
          <t>味噌汁</t>
        </is>
      </c>
      <c r="F20" s="8" t="n"/>
    </row>
    <row r="21">
      <c r="A21" s="2" t="inlineStr">
        <is>
          <t>野菜</t>
        </is>
      </c>
      <c r="B21" s="2" t="inlineStr">
        <is>
          <t>ほうれん草</t>
        </is>
      </c>
      <c r="C21" s="2" t="n">
        <v>3</v>
      </c>
      <c r="D21" s="2" t="inlineStr">
        <is>
          <t>袋</t>
        </is>
      </c>
      <c r="E21" s="2" t="inlineStr">
        <is>
          <t>ソテー・シチュー・おひたし</t>
        </is>
      </c>
      <c r="F21" s="8" t="n"/>
    </row>
    <row r="22">
      <c r="A22" s="2" t="inlineStr">
        <is>
          <t>野菜</t>
        </is>
      </c>
      <c r="B22" s="2" t="inlineStr">
        <is>
          <t>ごぼう</t>
        </is>
      </c>
      <c r="C22" s="2" t="n">
        <v>1</v>
      </c>
      <c r="D22" s="2" t="inlineStr">
        <is>
          <t>本</t>
        </is>
      </c>
      <c r="E22" s="2" t="inlineStr">
        <is>
          <t>筑前煮</t>
        </is>
      </c>
      <c r="F22" s="8" t="n"/>
    </row>
    <row r="23">
      <c r="A23" s="2" t="inlineStr">
        <is>
          <t>野菜</t>
        </is>
      </c>
      <c r="B23" s="2" t="inlineStr">
        <is>
          <t>れんこん</t>
        </is>
      </c>
      <c r="C23" s="2" t="n">
        <v>1</v>
      </c>
      <c r="D23" s="2" t="inlineStr">
        <is>
          <t>節</t>
        </is>
      </c>
      <c r="E23" s="2" t="inlineStr">
        <is>
          <t>筑前煮</t>
        </is>
      </c>
      <c r="F23" s="8" t="n"/>
    </row>
    <row r="24">
      <c r="A24" s="2" t="inlineStr">
        <is>
          <t>野菜</t>
        </is>
      </c>
      <c r="B24" s="2" t="inlineStr">
        <is>
          <t>里芋</t>
        </is>
      </c>
      <c r="C24" s="2" t="n">
        <v>4</v>
      </c>
      <c r="D24" s="2" t="inlineStr">
        <is>
          <t>個</t>
        </is>
      </c>
      <c r="E24" s="2" t="inlineStr">
        <is>
          <t>筑前煮</t>
        </is>
      </c>
      <c r="F24" s="8" t="n"/>
    </row>
    <row r="25">
      <c r="A25" s="2" t="inlineStr">
        <is>
          <t>野菜</t>
        </is>
      </c>
      <c r="B25" s="2" t="inlineStr">
        <is>
          <t>こんにゃく</t>
        </is>
      </c>
      <c r="C25" s="2" t="n">
        <v>1</v>
      </c>
      <c r="D25" s="2" t="inlineStr">
        <is>
          <t>枚</t>
        </is>
      </c>
      <c r="E25" s="2" t="inlineStr">
        <is>
          <t>筑前煮</t>
        </is>
      </c>
      <c r="F25" s="8" t="n"/>
    </row>
    <row r="26">
      <c r="A26" s="2" t="inlineStr">
        <is>
          <t>野菜</t>
        </is>
      </c>
      <c r="B26" s="2" t="inlineStr">
        <is>
          <t>長ねぎ</t>
        </is>
      </c>
      <c r="C26" s="2" t="n">
        <v>2</v>
      </c>
      <c r="D26" s="2" t="inlineStr">
        <is>
          <t>本</t>
        </is>
      </c>
      <c r="E26" s="2" t="inlineStr">
        <is>
          <t>肉豆腐・蒸し鶏ごはん</t>
        </is>
      </c>
      <c r="F26" s="8" t="n"/>
    </row>
    <row r="27">
      <c r="A27" s="2" t="inlineStr">
        <is>
          <t>野菜</t>
        </is>
      </c>
      <c r="B27" s="2" t="inlineStr">
        <is>
          <t>しめじ</t>
        </is>
      </c>
      <c r="C27" s="2" t="n">
        <v>2</v>
      </c>
      <c r="D27" s="2" t="inlineStr">
        <is>
          <t>パック</t>
        </is>
      </c>
      <c r="E27" s="2" t="inlineStr">
        <is>
          <t>炊き込みごはん・シチュー</t>
        </is>
      </c>
      <c r="F27" s="8" t="n"/>
    </row>
    <row r="28">
      <c r="A28" s="2" t="inlineStr">
        <is>
          <t>野菜</t>
        </is>
      </c>
      <c r="B28" s="2" t="inlineStr">
        <is>
          <t>いんげん</t>
        </is>
      </c>
      <c r="C28" s="2" t="n">
        <v>1</v>
      </c>
      <c r="D28" s="2" t="inlineStr">
        <is>
          <t>袋</t>
        </is>
      </c>
      <c r="E28" s="2" t="inlineStr">
        <is>
          <t>肉じゃが</t>
        </is>
      </c>
      <c r="F28" s="8" t="n"/>
    </row>
    <row r="29">
      <c r="A29" s="2" t="inlineStr">
        <is>
          <t>冷凍・乾物</t>
        </is>
      </c>
      <c r="B29" s="2" t="inlineStr">
        <is>
          <t>冷凍ブロッコリー</t>
        </is>
      </c>
      <c r="C29" s="2" t="n">
        <v>450</v>
      </c>
      <c r="D29" s="2" t="inlineStr">
        <is>
          <t>g</t>
        </is>
      </c>
      <c r="E29" s="2" t="inlineStr">
        <is>
          <t>副菜</t>
        </is>
      </c>
      <c r="F29" s="8" t="n"/>
    </row>
    <row r="30">
      <c r="A30" s="2" t="inlineStr">
        <is>
          <t>冷凍・乾物</t>
        </is>
      </c>
      <c r="B30" s="2" t="inlineStr">
        <is>
          <t>冷凍ブルーベリー</t>
        </is>
      </c>
      <c r="C30" s="2" t="n">
        <v>300</v>
      </c>
      <c r="D30" s="2" t="inlineStr">
        <is>
          <t>g</t>
        </is>
      </c>
      <c r="E30" s="2" t="inlineStr">
        <is>
          <t>朝食・間食</t>
        </is>
      </c>
      <c r="F30" s="8" t="n"/>
    </row>
    <row r="31">
      <c r="A31" s="2" t="inlineStr">
        <is>
          <t>冷凍・乾物</t>
        </is>
      </c>
      <c r="B31" s="2" t="inlineStr">
        <is>
          <t>干ししいたけ</t>
        </is>
      </c>
      <c r="C31" s="2" t="n">
        <v>4</v>
      </c>
      <c r="D31" s="2" t="inlineStr">
        <is>
          <t>個</t>
        </is>
      </c>
      <c r="E31" s="2" t="inlineStr">
        <is>
          <t>筑前煮</t>
        </is>
      </c>
      <c r="F31" s="8" t="n"/>
    </row>
    <row r="32">
      <c r="A32" s="2" t="inlineStr">
        <is>
          <t>果物</t>
        </is>
      </c>
      <c r="B32" s="2" t="inlineStr">
        <is>
          <t>バナナ</t>
        </is>
      </c>
      <c r="C32" s="2" t="n">
        <v>1</v>
      </c>
      <c r="D32" s="2" t="inlineStr">
        <is>
          <t>房</t>
        </is>
      </c>
      <c r="E32" s="2" t="inlineStr">
        <is>
          <t>朝食・間食</t>
        </is>
      </c>
      <c r="F32" s="8" t="n"/>
    </row>
    <row r="33">
      <c r="A33" s="2" t="inlineStr">
        <is>
          <t>主食</t>
        </is>
      </c>
      <c r="B33" s="2" t="inlineStr">
        <is>
          <t>米</t>
        </is>
      </c>
      <c r="C33" s="2" t="n">
        <v>1.5</v>
      </c>
      <c r="D33" s="2" t="inlineStr">
        <is>
          <t>kg</t>
        </is>
      </c>
      <c r="E33" s="2" t="inlineStr">
        <is>
          <t>毎食</t>
        </is>
      </c>
      <c r="F33" s="8" t="n"/>
    </row>
    <row r="34">
      <c r="A34" s="2" t="inlineStr">
        <is>
          <t>主食</t>
        </is>
      </c>
      <c r="B34" s="2" t="inlineStr">
        <is>
          <t>食パン</t>
        </is>
      </c>
      <c r="C34" s="2" t="n">
        <v>1</v>
      </c>
      <c r="D34" s="2" t="inlineStr">
        <is>
          <t>袋</t>
        </is>
      </c>
      <c r="E34" s="2" t="inlineStr">
        <is>
          <t>朝食・夕食</t>
        </is>
      </c>
      <c r="F34" s="8" t="n"/>
    </row>
    <row r="35">
      <c r="A35" s="2" t="inlineStr">
        <is>
          <t>主食</t>
        </is>
      </c>
      <c r="B35" s="2" t="inlineStr">
        <is>
          <t>焼きのり</t>
        </is>
      </c>
      <c r="C35" s="2" t="n">
        <v>1</v>
      </c>
      <c r="D35" s="2" t="inlineStr">
        <is>
          <t>袋</t>
        </is>
      </c>
      <c r="E35" s="2" t="inlineStr">
        <is>
          <t>おにぎり</t>
        </is>
      </c>
      <c r="F35" s="8" t="n"/>
    </row>
    <row r="36">
      <c r="A36" s="2" t="inlineStr">
        <is>
          <t>調味料</t>
        </is>
      </c>
      <c r="B36" s="2" t="inlineStr">
        <is>
          <t>味噌・顆粒だし・しょうゆ・みりん・酒・砂糖・塩こしょう</t>
        </is>
      </c>
      <c r="C36" s="2" t="n">
        <v>1</v>
      </c>
      <c r="D36" s="2" t="inlineStr">
        <is>
          <t>式</t>
        </is>
      </c>
      <c r="E36" s="2" t="inlineStr">
        <is>
          <t>在庫を確認</t>
        </is>
      </c>
      <c r="F36" s="8" t="n"/>
    </row>
    <row r="37">
      <c r="A37" s="2" t="inlineStr">
        <is>
          <t>調味料</t>
        </is>
      </c>
      <c r="B37" s="2" t="inlineStr">
        <is>
          <t>薄力粉・バター・オリーブオイル・しょうが</t>
        </is>
      </c>
      <c r="C37" s="2" t="n">
        <v>1</v>
      </c>
      <c r="D37" s="2" t="inlineStr">
        <is>
          <t>式</t>
        </is>
      </c>
      <c r="E37" s="2" t="inlineStr">
        <is>
          <t>在庫を確認</t>
        </is>
      </c>
      <c r="F37" s="8" t="n"/>
    </row>
    <row r="39">
      <c r="A39" s="5" t="inlineStr">
        <is>
          <t>品目数</t>
        </is>
      </c>
      <c r="B39" s="6">
        <f>COUNTA(B2:B37)</f>
        <v/>
      </c>
    </row>
    <row r="40">
      <c r="A40" s="5" t="inlineStr">
        <is>
          <t>購入済</t>
        </is>
      </c>
      <c r="B40" s="6">
        <f>COUNTIF(F2:F37,"○")</f>
        <v/>
      </c>
    </row>
    <row r="41">
      <c r="A41" s="5" t="inlineStr">
        <is>
          <t>残り</t>
        </is>
      </c>
      <c r="B41" s="6">
        <f>B39-B40</f>
        <v/>
      </c>
    </row>
    <row r="43">
      <c r="A43" s="3" t="inlineStr">
        <is>
          <t>数量は2人分の概算(Claudeの推定)。在庫を差し引いて調整。F列に○を入れると集計される。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70" customWidth="1" min="2" max="2"/>
  </cols>
  <sheetData>
    <row r="1">
      <c r="A1" s="1" t="inlineStr">
        <is>
          <t>内容</t>
        </is>
      </c>
      <c r="B1" s="1" t="inlineStr">
        <is>
          <t>出典</t>
        </is>
      </c>
    </row>
    <row r="2">
      <c r="A2" s="2" t="inlineStr">
        <is>
          <t>主食+主菜+副菜をそろえると栄養がととのいやすい</t>
        </is>
      </c>
      <c r="B2" s="4" t="inlineStr">
        <is>
          <t>https://www.city.bunkyo.lg.jp/documents/1540/2024321215312.pdf</t>
        </is>
      </c>
    </row>
    <row r="3">
      <c r="A3" s="2" t="inlineStr">
        <is>
          <t>授乳中は妊娠前より約350kcal・たんぱく質約20gの上乗せが勧められる</t>
        </is>
      </c>
      <c r="B3" s="4" t="inlineStr">
        <is>
          <t>https://www.med.jrc.or.jp/Portals/0/resources/hospital/clinic/sanka/eiyo.pdf</t>
        </is>
      </c>
    </row>
    <row r="4">
      <c r="A4" s="2" t="inlineStr">
        <is>
          <t>鉄はビタミンCと一緒に。和食中心・脂っこい物と菓子は控えめ・水分補給</t>
        </is>
      </c>
      <c r="B4" s="4" t="inlineStr">
        <is>
          <t>https://www.kenko-shokuiku.city.nagoya.jp/pdf/ninsanpu_syokuji.pdf</t>
        </is>
      </c>
    </row>
    <row r="5">
      <c r="A5" s="2" t="inlineStr">
        <is>
          <t>日本人の食事摂取基準(2025年版)公式</t>
        </is>
      </c>
      <c r="B5" s="4" t="inlineStr">
        <is>
          <t>https://www.mhlw.go.jp/content/10904750/001542297.pdf</t>
        </is>
      </c>
    </row>
    <row r="6">
      <c r="A6" s="2" t="inlineStr">
        <is>
          <t>冷凍野菜の栄養(生より少ないビタミンCもある)</t>
        </is>
      </c>
      <c r="B6" s="4" t="inlineStr">
        <is>
          <t>https://hugkum.sho.jp/402470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2026-10-15T15:42:27Z</dcterms:created>
  <dcterms:modified xsi:type="dcterms:W3CDTF">2026-10-15T15:42:27Z</dcterms:modified>
</cp:coreProperties>
</file>